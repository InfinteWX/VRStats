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统计数据" sheetId="4" r:id="rId1"/>
    <sheet name="统计数据 (2)" sheetId="5" r:id="rId2"/>
    <sheet name="原始数据" sheetId="1" r:id="rId3"/>
    <sheet name="Sheet2" sheetId="2" r:id="rId4"/>
  </sheets>
  <definedNames>
    <definedName name="_xlnm._FilterDatabase" localSheetId="0" hidden="1">统计数据!$A$1:$H$49</definedName>
    <definedName name="_xlnm._FilterDatabase" localSheetId="1" hidden="1">'统计数据 (2)'!$A$1:$H$48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<sst xmlns="http://schemas.openxmlformats.org/spreadsheetml/2006/main" count="1643" uniqueCount="227">
  <si>
    <t>姓名</t>
  </si>
  <si>
    <t>年龄</t>
  </si>
  <si>
    <t>性别</t>
  </si>
  <si>
    <t>组别</t>
  </si>
  <si>
    <t>惯用手</t>
  </si>
  <si>
    <t>触觉经验</t>
  </si>
  <si>
    <t>VR经验</t>
  </si>
  <si>
    <t>双经验</t>
  </si>
  <si>
    <t>ICL1</t>
  </si>
  <si>
    <t>ICL2</t>
  </si>
  <si>
    <t>ICL</t>
  </si>
  <si>
    <t>GCL1</t>
  </si>
  <si>
    <t>GCL2</t>
  </si>
  <si>
    <t>GCL3</t>
  </si>
  <si>
    <t>GCL</t>
  </si>
  <si>
    <t>ECL1</t>
  </si>
  <si>
    <t>ECL2</t>
  </si>
  <si>
    <t>ECL3</t>
  </si>
  <si>
    <t>ECL</t>
  </si>
  <si>
    <t>认知负荷总分</t>
  </si>
  <si>
    <t>G1</t>
  </si>
  <si>
    <t>SP1</t>
  </si>
  <si>
    <t>SP2</t>
  </si>
  <si>
    <t>SP3</t>
  </si>
  <si>
    <t>SP4</t>
  </si>
  <si>
    <t>SP5</t>
  </si>
  <si>
    <t>SP</t>
  </si>
  <si>
    <t>INV1</t>
  </si>
  <si>
    <t>INV2</t>
  </si>
  <si>
    <t>INV3</t>
  </si>
  <si>
    <t>INV4</t>
  </si>
  <si>
    <t>INV</t>
  </si>
  <si>
    <t>REAL1</t>
  </si>
  <si>
    <t>REAL2</t>
  </si>
  <si>
    <t>REAL3</t>
  </si>
  <si>
    <t>REAL4</t>
  </si>
  <si>
    <t>REAL</t>
  </si>
  <si>
    <t>沉浸感总分</t>
  </si>
  <si>
    <t>AC1</t>
  </si>
  <si>
    <t>AC2</t>
  </si>
  <si>
    <t>AC3</t>
  </si>
  <si>
    <t>AC4</t>
  </si>
  <si>
    <t>AC</t>
  </si>
  <si>
    <t>CO1</t>
  </si>
  <si>
    <t>CO2</t>
  </si>
  <si>
    <t>CO3</t>
  </si>
  <si>
    <t>CO4</t>
  </si>
  <si>
    <t>CO</t>
  </si>
  <si>
    <t>具身感总分</t>
  </si>
  <si>
    <t>AIH1</t>
  </si>
  <si>
    <t>AIH2</t>
  </si>
  <si>
    <t>AIH3</t>
  </si>
  <si>
    <t>AIH4</t>
  </si>
  <si>
    <t>AIH</t>
  </si>
  <si>
    <t>CPH1</t>
  </si>
  <si>
    <t>CPH2</t>
  </si>
  <si>
    <t>CPH3</t>
  </si>
  <si>
    <t>CPH</t>
  </si>
  <si>
    <t>易用性总分</t>
  </si>
  <si>
    <t>前测数值</t>
  </si>
  <si>
    <t>前测方向</t>
  </si>
  <si>
    <t>前测总分</t>
  </si>
  <si>
    <t>后测数值</t>
  </si>
  <si>
    <t>后测方向</t>
  </si>
  <si>
    <t>后测总分</t>
  </si>
  <si>
    <t>提升</t>
  </si>
  <si>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</si>
  <si>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</si>
  <si>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</si>
  <si>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</si>
  <si>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</si>
  <si>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</si>
  <si>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</si>
  <si>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</si>
  <si>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</si>
  <si>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</si>
  <si>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</si>
  <si>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</si>
  <si>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</si>
  <si>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</si>
  <si>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</si>
  <si>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time</t>
  </si>
  <si>
    <t>赵星媛</t>
  </si>
  <si>
    <t>女</t>
  </si>
  <si>
    <t>实验组</t>
  </si>
  <si>
    <t>右</t>
  </si>
  <si>
    <t>无</t>
  </si>
  <si>
    <t>有</t>
  </si>
  <si>
    <t>朗文涵</t>
  </si>
  <si>
    <t>对照组</t>
  </si>
  <si>
    <t>李秋弈</t>
  </si>
  <si>
    <t>男</t>
  </si>
  <si>
    <t>扬国经</t>
  </si>
  <si>
    <t>杨颜铭</t>
  </si>
  <si>
    <t>和敬翊</t>
  </si>
  <si>
    <t>张翔雨</t>
  </si>
  <si>
    <t>于宁致</t>
  </si>
  <si>
    <t>温皓麟</t>
  </si>
  <si>
    <t>常亦晨</t>
  </si>
  <si>
    <t>王稳越</t>
  </si>
  <si>
    <t>王卓（bad data）</t>
  </si>
  <si>
    <t>董浩</t>
  </si>
  <si>
    <t>赵禹辰</t>
  </si>
  <si>
    <t>李恩泽</t>
  </si>
  <si>
    <t>孙凌越</t>
  </si>
  <si>
    <t>周世华</t>
  </si>
  <si>
    <t>李昊朗</t>
  </si>
  <si>
    <t>何苏懿</t>
  </si>
  <si>
    <t>左</t>
  </si>
  <si>
    <t>刘轩宁</t>
  </si>
  <si>
    <t>李治霄</t>
  </si>
  <si>
    <t>柏凌云</t>
  </si>
  <si>
    <t>于子杰</t>
  </si>
  <si>
    <t>伊力杰</t>
  </si>
  <si>
    <t>贾晨祎</t>
  </si>
  <si>
    <t>雷欣仪</t>
  </si>
  <si>
    <t>戴岩</t>
  </si>
  <si>
    <t>杨国纬</t>
  </si>
  <si>
    <t>冯睿佳</t>
  </si>
  <si>
    <t>周子仪</t>
  </si>
  <si>
    <t>杨韵琦</t>
  </si>
  <si>
    <t>崔嵩雨</t>
  </si>
  <si>
    <t>陈昭宇</t>
  </si>
  <si>
    <t>白文婷</t>
  </si>
  <si>
    <t>杨学</t>
  </si>
  <si>
    <t>王佳音</t>
  </si>
  <si>
    <t>董煜阳</t>
  </si>
  <si>
    <t>张梓昂</t>
  </si>
  <si>
    <t>彭董书</t>
  </si>
  <si>
    <t>郑嘉定</t>
  </si>
  <si>
    <t>蓝晨予</t>
  </si>
  <si>
    <t>李霁珠</t>
  </si>
  <si>
    <t>刘天童</t>
  </si>
  <si>
    <t>周溪浣</t>
  </si>
  <si>
    <t>朱静钧</t>
  </si>
  <si>
    <t>王旭东(bad data）</t>
  </si>
  <si>
    <t>田浩辰</t>
  </si>
  <si>
    <t>汝德远</t>
  </si>
  <si>
    <t>王卓</t>
  </si>
  <si>
    <t>王旭东</t>
  </si>
  <si>
    <t>认知负荷</t>
  </si>
  <si>
    <t>沉浸感</t>
  </si>
  <si>
    <t>具身感</t>
  </si>
  <si>
    <t>易用性</t>
  </si>
  <si>
    <t>前测分数</t>
  </si>
  <si>
    <t>后测分数</t>
  </si>
  <si>
    <t>负荷1</t>
  </si>
  <si>
    <t>负荷2</t>
  </si>
  <si>
    <t>负荷3</t>
  </si>
  <si>
    <t>负荷4</t>
  </si>
  <si>
    <t>负荷5</t>
  </si>
  <si>
    <t>负荷6</t>
  </si>
  <si>
    <t>负荷7</t>
  </si>
  <si>
    <t>负荷8</t>
  </si>
  <si>
    <t>总分</t>
  </si>
  <si>
    <t>沉浸1</t>
  </si>
  <si>
    <t>沉浸2</t>
  </si>
  <si>
    <t>沉浸3</t>
  </si>
  <si>
    <t>沉浸4</t>
  </si>
  <si>
    <t>沉浸5</t>
  </si>
  <si>
    <t>沉浸6</t>
  </si>
  <si>
    <t>沉浸7</t>
  </si>
  <si>
    <t>沉浸8</t>
  </si>
  <si>
    <t>沉浸9</t>
  </si>
  <si>
    <t>沉浸10</t>
  </si>
  <si>
    <t>沉浸11</t>
  </si>
  <si>
    <t>沉浸12</t>
  </si>
  <si>
    <t>沉浸13</t>
  </si>
  <si>
    <t>沉浸14</t>
  </si>
  <si>
    <t>具身1</t>
  </si>
  <si>
    <t>具身2</t>
  </si>
  <si>
    <t>具身3</t>
  </si>
  <si>
    <t>具身4</t>
  </si>
  <si>
    <t>具身5</t>
  </si>
  <si>
    <t>具身6</t>
  </si>
  <si>
    <t>具身7</t>
  </si>
  <si>
    <t>具身8</t>
  </si>
  <si>
    <t>易用1</t>
  </si>
  <si>
    <t>易用2</t>
  </si>
  <si>
    <t>易用3</t>
  </si>
  <si>
    <t>易用4</t>
  </si>
  <si>
    <t>易用5</t>
  </si>
  <si>
    <t>易用6</t>
  </si>
  <si>
    <t>易用7</t>
  </si>
  <si>
    <t>数值</t>
  </si>
  <si>
    <t>方向</t>
  </si>
  <si>
    <t>（方向关系正确）</t>
  </si>
  <si>
    <t>王琦岳</t>
  </si>
  <si>
    <t>汪子越</t>
  </si>
  <si>
    <t>1</t>
  </si>
  <si>
    <t>4</t>
  </si>
  <si>
    <t>2</t>
  </si>
  <si>
    <t>16</t>
  </si>
  <si>
    <t>0</t>
  </si>
  <si>
    <t>6</t>
  </si>
  <si>
    <t>5</t>
  </si>
  <si>
    <t>211.4368</t>
  </si>
  <si>
    <t>3</t>
  </si>
  <si>
    <t>19</t>
  </si>
  <si>
    <t>344.1592</t>
  </si>
  <si>
    <t>139.4103</t>
  </si>
  <si>
    <t>141.2023</t>
  </si>
  <si>
    <t>142.7022</t>
  </si>
  <si>
    <t>282.5554</t>
  </si>
  <si>
    <t>15</t>
  </si>
  <si>
    <t>327.9009</t>
  </si>
  <si>
    <t>295.4995</t>
  </si>
  <si>
    <t>17</t>
  </si>
  <si>
    <t>386.7593</t>
  </si>
  <si>
    <t>14</t>
  </si>
  <si>
    <t>313.9985</t>
  </si>
  <si>
    <t>315.8313</t>
  </si>
  <si>
    <t>255.7786</t>
  </si>
  <si>
    <t>407.9248</t>
  </si>
  <si>
    <t>281.251</t>
  </si>
  <si>
    <t>288.542</t>
  </si>
  <si>
    <t>318.3179</t>
  </si>
  <si>
    <t>339.9698</t>
  </si>
  <si>
    <t>283.5974</t>
  </si>
  <si>
    <t>288.9308</t>
  </si>
  <si>
    <t xml:space="preserve"> </t>
  </si>
  <si>
    <t>547.3746</t>
  </si>
  <si>
    <t>247.0024</t>
  </si>
  <si>
    <t>249.5295</t>
  </si>
  <si>
    <t>7</t>
  </si>
  <si>
    <t>413.3324</t>
  </si>
  <si>
    <t>414.6382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</si>
</sst>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B0F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49" fontId="1" fillId="0" borderId="0" xfId="0" applyNumberFormat="1" applyFont="1" applyAlignment="1" applyProtection="1"/>
    <xf numFmtId="0" fontId="1" fillId="0" borderId="0" xfId="0" applyNumberFormat="1" applyFont="1" applyAlignment="1" applyProtection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7" borderId="0" xfId="0" applyFont="1" applyFill="1">
      <alignment vertical="center"/>
    </xf>
    <xf numFmtId="0" fontId="0" fillId="0" borderId="2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0" xfId="0" applyFont="1" applyFill="1">
      <alignment vertical="center"/>
    </xf>
    <xf numFmtId="0" fontId="1" fillId="0" borderId="0" xfId="0" applyNumberFormat="1" applyFont="1" applyFill="1" applyAlignment="1" applyProtection="1"/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0" xfId="0" applyFont="1" applyFill="1">
      <alignment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>
      <alignment vertical="center"/>
    </xf>
    <xf numFmtId="0" fontId="1" fillId="6" borderId="0" xfId="0" applyNumberFormat="1" applyFont="1" applyFill="1" applyAlignment="1" applyProtection="1"/>
    <xf numFmtId="0" fontId="2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2" fillId="6" borderId="1" xfId="0" applyFont="1" applyFill="1" applyBorder="1">
      <alignment vertical="center"/>
    </xf>
    <xf numFmtId="0" fontId="5" fillId="6" borderId="0" xfId="0" applyFont="1" applyFill="1">
      <alignment vertical="center"/>
    </xf>
    <xf numFmtId="0" fontId="5" fillId="6" borderId="1" xfId="0" applyFont="1" applyFill="1" applyBorder="1">
      <alignment vertical="center"/>
    </xf>
    <xf numFmtId="0" fontId="4" fillId="6" borderId="0" xfId="0" applyFont="1" applyFill="1">
      <alignment vertical="center"/>
    </xf>
    <xf numFmtId="0" fontId="6" fillId="0" borderId="0" xfId="0" applyNumberFormat="1" applyFont="1" applyAlignment="1" applyProtection="1"/>
    <xf numFmtId="0" fontId="0" fillId="6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49"/>
  <sheetViews>
    <sheetView zoomScale="130" zoomScaleNormal="130" topLeftCell="A29" workbookViewId="0">
      <pane xSplit="1" topLeftCell="B1" activePane="topRight" state="frozen"/>
      <selection/>
      <selection pane="topRight" activeCell="AE24" sqref="AE24"/>
    </sheetView>
  </sheetViews>
  <sheetFormatPr defaultColWidth="8.78181818181818" defaultRowHeight="14"/>
  <cols>
    <col min="1" max="1" width="7.55454545454545" customWidth="1"/>
    <col min="2" max="3" width="5.55454545454545" customWidth="1"/>
    <col min="4" max="5" width="7.55454545454545" customWidth="1"/>
    <col min="6" max="6" width="9.55454545454545" customWidth="1"/>
    <col min="7" max="8" width="7.55454545454545" customWidth="1"/>
    <col min="10" max="10" width="6.55454545454545" style="7" customWidth="1"/>
    <col min="11" max="11" width="6.55454545454545" customWidth="1"/>
    <col min="12" max="12" width="6.55454545454545" style="27" customWidth="1"/>
    <col min="13" max="15" width="6.55454545454545" customWidth="1"/>
    <col min="16" max="16" width="6.55454545454545" style="27" customWidth="1"/>
    <col min="17" max="19" width="6.55454545454545" customWidth="1"/>
    <col min="20" max="20" width="6.55454545454545" style="27" customWidth="1"/>
    <col min="21" max="21" width="14" style="8" customWidth="1"/>
    <col min="22" max="22" width="6.55454545454545" customWidth="1"/>
    <col min="23" max="23" width="6.55454545454545" style="28" customWidth="1"/>
    <col min="24" max="28" width="6.55454545454545" customWidth="1"/>
    <col min="29" max="29" width="6.55454545454545" style="27" customWidth="1"/>
    <col min="30" max="32" width="6.55454545454545" customWidth="1"/>
    <col min="33" max="33" width="7.55454545454545" customWidth="1"/>
    <col min="34" max="34" width="7.55454545454545" style="27" customWidth="1"/>
    <col min="35" max="38" width="7.55454545454545" customWidth="1"/>
    <col min="39" max="39" width="7.55454545454545" style="27" customWidth="1"/>
    <col min="40" max="40" width="12.7818181818182" style="8" customWidth="1"/>
    <col min="42" max="42" width="6.55454545454545" style="7" customWidth="1"/>
    <col min="43" max="45" width="6.55454545454545" customWidth="1"/>
    <col min="46" max="46" width="6.55454545454545" style="27" customWidth="1"/>
    <col min="47" max="50" width="6.55454545454545" customWidth="1"/>
    <col min="51" max="51" width="6.55454545454545" style="27" customWidth="1"/>
    <col min="52" max="52" width="11.7818181818182" style="8" customWidth="1"/>
    <col min="53" max="53" width="6.55454545454545" customWidth="1"/>
    <col min="54" max="54" width="6.55454545454545" style="7" customWidth="1"/>
    <col min="55" max="57" width="6.55454545454545" customWidth="1"/>
    <col min="58" max="58" width="6.55454545454545" style="27" customWidth="1"/>
    <col min="59" max="61" width="6.55454545454545" customWidth="1"/>
    <col min="62" max="62" width="6.55454545454545" style="27" customWidth="1"/>
    <col min="63" max="63" width="12.7818181818182" style="8" customWidth="1"/>
    <col min="65" max="65" width="9.55454545454545" style="7" customWidth="1"/>
    <col min="66" max="66" width="9.55454545454545" customWidth="1"/>
    <col min="67" max="67" width="9.55454545454545" style="8" customWidth="1"/>
    <col min="68" max="68" width="9.55454545454545" style="7" customWidth="1"/>
    <col min="69" max="69" width="9.55454545454545" customWidth="1"/>
    <col min="70" max="70" width="9.55454545454545" style="8" customWidth="1"/>
    <col min="71" max="71" width="5.55454545454545" customWidth="1"/>
    <col min="72" max="72" width="6.36363636363636" customWidth="1"/>
  </cols>
  <sheetData>
    <row r="1" ht="13.95" customHeight="1" spans="1:88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J1" s="29" t="s">
        <v>8</v>
      </c>
      <c r="K1" s="30" t="s">
        <v>9</v>
      </c>
      <c r="L1" s="31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  <c r="R1" s="30" t="s">
        <v>16</v>
      </c>
      <c r="S1" s="30" t="s">
        <v>17</v>
      </c>
      <c r="T1" s="31" t="s">
        <v>18</v>
      </c>
      <c r="U1" s="32" t="s">
        <v>19</v>
      </c>
      <c r="W1" s="28" t="s">
        <v>20</v>
      </c>
      <c r="X1" t="s">
        <v>21</v>
      </c>
      <c r="Y1" s="16" t="s">
        <v>22</v>
      </c>
      <c r="Z1" s="30" t="s">
        <v>23</v>
      </c>
      <c r="AA1" t="s">
        <v>24</v>
      </c>
      <c r="AB1" t="s">
        <v>25</v>
      </c>
      <c r="AC1" s="27" t="s">
        <v>26</v>
      </c>
      <c r="AD1" t="s">
        <v>27</v>
      </c>
      <c r="AE1" t="s">
        <v>28</v>
      </c>
      <c r="AF1" s="16" t="s">
        <v>29</v>
      </c>
      <c r="AG1" t="s">
        <v>30</v>
      </c>
      <c r="AH1" s="27" t="s">
        <v>31</v>
      </c>
      <c r="AI1" s="16" t="s">
        <v>32</v>
      </c>
      <c r="AJ1" t="s">
        <v>33</v>
      </c>
      <c r="AK1" t="s">
        <v>34</v>
      </c>
      <c r="AL1" t="s">
        <v>35</v>
      </c>
      <c r="AM1" s="27" t="s">
        <v>36</v>
      </c>
      <c r="AN1" s="32" t="s">
        <v>37</v>
      </c>
      <c r="AP1" s="7" t="s">
        <v>38</v>
      </c>
      <c r="AQ1" t="s">
        <v>39</v>
      </c>
      <c r="AR1" s="7" t="s">
        <v>40</v>
      </c>
      <c r="AS1" t="s">
        <v>41</v>
      </c>
      <c r="AT1" s="27" t="s">
        <v>42</v>
      </c>
      <c r="AU1" t="s">
        <v>43</v>
      </c>
      <c r="AV1" t="s">
        <v>44</v>
      </c>
      <c r="AW1" t="s">
        <v>45</v>
      </c>
      <c r="AX1" t="s">
        <v>46</v>
      </c>
      <c r="AY1" s="27" t="s">
        <v>47</v>
      </c>
      <c r="AZ1" s="32" t="s">
        <v>48</v>
      </c>
      <c r="BB1" s="7" t="s">
        <v>49</v>
      </c>
      <c r="BC1" t="s">
        <v>50</v>
      </c>
      <c r="BD1" s="15" t="s">
        <v>51</v>
      </c>
      <c r="BE1" t="s">
        <v>52</v>
      </c>
      <c r="BF1" s="27" t="s">
        <v>53</v>
      </c>
      <c r="BG1" t="s">
        <v>54</v>
      </c>
      <c r="BH1" t="s">
        <v>55</v>
      </c>
      <c r="BI1" s="16" t="s">
        <v>56</v>
      </c>
      <c r="BJ1" s="27" t="s">
        <v>57</v>
      </c>
      <c r="BK1" s="32" t="s">
        <v>58</v>
      </c>
      <c r="BM1" s="7" t="s">
        <v>59</v>
      </c>
      <c r="BN1" s="17" t="s">
        <v>60</v>
      </c>
      <c r="BO1" s="32" t="s">
        <v>61</v>
      </c>
      <c r="BP1" s="18" t="s">
        <v>62</v>
      </c>
      <c r="BQ1" t="s">
        <v>63</v>
      </c>
      <c r="BR1" s="32" t="s">
        <v>64</v>
      </c>
      <c r="BS1" s="17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2" t="s">
        <v>80</v>
      </c>
      <c r="CJ1" t="s">
        <v>81</v>
      </c>
    </row>
    <row r="2" ht="14.5" spans="1:88">
      <c r="A2" t="s">
        <v>82</v>
      </c>
      <c r="B2">
        <v>16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86</v>
      </c>
      <c r="J2" s="7">
        <v>4</v>
      </c>
      <c r="K2">
        <v>2</v>
      </c>
      <c r="L2" s="27">
        <f>AVERAGE(J2:K2)</f>
        <v>3</v>
      </c>
      <c r="M2">
        <v>5</v>
      </c>
      <c r="N2">
        <v>7</v>
      </c>
      <c r="O2">
        <v>7</v>
      </c>
      <c r="P2" s="27">
        <f>AVERAGE(M2:O2)</f>
        <v>6.33333333333333</v>
      </c>
      <c r="Q2">
        <v>4</v>
      </c>
      <c r="R2">
        <v>3</v>
      </c>
      <c r="S2">
        <v>4</v>
      </c>
      <c r="T2" s="27">
        <f>AVERAGE(Q2:S2)</f>
        <v>3.66666666666667</v>
      </c>
      <c r="U2" s="8">
        <f>AVERAGE(J2:K2,M2:O2,Q2:S2)</f>
        <v>4.5</v>
      </c>
      <c r="W2" s="28">
        <v>7</v>
      </c>
      <c r="X2">
        <v>4</v>
      </c>
      <c r="Y2">
        <v>2</v>
      </c>
      <c r="Z2">
        <v>3</v>
      </c>
      <c r="AA2">
        <v>5</v>
      </c>
      <c r="AB2">
        <v>5</v>
      </c>
      <c r="AC2" s="27">
        <f>(X2+(7-Y2)+Z2+AA2+AB2)/5</f>
        <v>4.4</v>
      </c>
      <c r="AD2">
        <v>4</v>
      </c>
      <c r="AE2">
        <v>3</v>
      </c>
      <c r="AF2">
        <v>4</v>
      </c>
      <c r="AG2">
        <v>5</v>
      </c>
      <c r="AH2" s="27">
        <f>(AD2+AE2+(7-AF2)+AG2)/4</f>
        <v>3.75</v>
      </c>
      <c r="AI2">
        <v>2</v>
      </c>
      <c r="AJ2">
        <v>4</v>
      </c>
      <c r="AK2">
        <v>2</v>
      </c>
      <c r="AL2">
        <v>3</v>
      </c>
      <c r="AM2" s="27">
        <f>((7-AI2)+AJ2+AK2+AL2)/4</f>
        <v>3.5</v>
      </c>
      <c r="AN2" s="8">
        <f>(SUM(W2:X2,Z2:AB2,AD2:AE2,AG2,AJ2:AL2)+3*7-SUM(Y2,AF2,AI2))/14</f>
        <v>4.14285714285714</v>
      </c>
      <c r="AP2" s="7">
        <v>5</v>
      </c>
      <c r="AQ2">
        <v>3</v>
      </c>
      <c r="AR2">
        <v>5</v>
      </c>
      <c r="AS2">
        <v>7</v>
      </c>
      <c r="AT2" s="27">
        <f>AVERAGE(AP2:AS2)</f>
        <v>5</v>
      </c>
      <c r="AU2">
        <v>7</v>
      </c>
      <c r="AV2">
        <v>5</v>
      </c>
      <c r="AW2">
        <v>7</v>
      </c>
      <c r="AX2">
        <v>7</v>
      </c>
      <c r="AY2" s="27">
        <f>AVERAGE(AU2:AX2)</f>
        <v>6.5</v>
      </c>
      <c r="AZ2" s="8">
        <f>AVERAGE(AP2:AS2,AU2:AX2)</f>
        <v>5.75</v>
      </c>
      <c r="BB2" s="7">
        <v>4</v>
      </c>
      <c r="BC2">
        <v>7</v>
      </c>
      <c r="BD2">
        <v>5</v>
      </c>
      <c r="BE2">
        <v>6</v>
      </c>
      <c r="BF2" s="27">
        <f>(BB2+BC2+BE2+(7-BD2))/4</f>
        <v>4.75</v>
      </c>
      <c r="BG2">
        <v>7</v>
      </c>
      <c r="BH2">
        <v>4</v>
      </c>
      <c r="BI2">
        <v>2</v>
      </c>
      <c r="BJ2" s="27">
        <f>(BG2+BH2+(7-BI2))/3</f>
        <v>5.33333333333333</v>
      </c>
      <c r="BK2" s="8">
        <f>(SUM(BB2:BC2,BE2,BG2,BH2)+2*7-SUM(BD2,BI2))/7</f>
        <v>5</v>
      </c>
      <c r="BM2" s="7">
        <v>4</v>
      </c>
      <c r="BN2">
        <v>5</v>
      </c>
      <c r="BO2" s="8">
        <f>SUM(BM2:BN2)</f>
        <v>9</v>
      </c>
      <c r="BP2" s="7">
        <v>4</v>
      </c>
      <c r="BQ2">
        <v>4</v>
      </c>
      <c r="BR2" s="8">
        <f>SUM(BP2:BQ2)</f>
        <v>8</v>
      </c>
      <c r="BS2">
        <f>BR2-BO2</f>
        <v>-1</v>
      </c>
      <c r="BU2" s="2">
        <v>1</v>
      </c>
      <c r="BV2" s="2">
        <v>4</v>
      </c>
      <c r="BW2" s="2">
        <v>2</v>
      </c>
      <c r="BX2" s="2">
        <v>1</v>
      </c>
      <c r="BY2" s="2">
        <v>16</v>
      </c>
      <c r="BZ2" s="2">
        <v>1</v>
      </c>
      <c r="CA2" s="2">
        <v>0</v>
      </c>
      <c r="CB2" s="2">
        <v>1</v>
      </c>
      <c r="CC2" s="2">
        <v>4</v>
      </c>
      <c r="CD2" s="2">
        <v>2</v>
      </c>
      <c r="CE2" s="2">
        <v>0</v>
      </c>
      <c r="CF2" s="2">
        <v>1</v>
      </c>
      <c r="CG2" s="2">
        <v>6</v>
      </c>
      <c r="CH2" s="2">
        <v>5</v>
      </c>
      <c r="CJ2" s="2">
        <v>211.4368</v>
      </c>
    </row>
    <row r="3" s="26" customFormat="1" ht="14.5" spans="1:88">
      <c r="A3" s="26" t="s">
        <v>88</v>
      </c>
      <c r="B3" s="26">
        <v>16</v>
      </c>
      <c r="C3" s="26" t="s">
        <v>83</v>
      </c>
      <c r="D3" s="26" t="s">
        <v>89</v>
      </c>
      <c r="E3" s="26" t="s">
        <v>85</v>
      </c>
      <c r="F3" s="26" t="s">
        <v>86</v>
      </c>
      <c r="G3" s="26" t="s">
        <v>86</v>
      </c>
      <c r="H3" s="26" t="s">
        <v>86</v>
      </c>
      <c r="J3" s="41">
        <v>3</v>
      </c>
      <c r="K3" s="26">
        <v>3</v>
      </c>
      <c r="L3" s="27">
        <f t="shared" ref="L3:L49" si="0">AVERAGE(J3:K3)</f>
        <v>3</v>
      </c>
      <c r="M3" s="26">
        <v>5</v>
      </c>
      <c r="N3" s="26">
        <v>5</v>
      </c>
      <c r="O3" s="26">
        <v>7</v>
      </c>
      <c r="P3" s="27">
        <f t="shared" ref="P3:P49" si="1">AVERAGE(M3:O3)</f>
        <v>5.66666666666667</v>
      </c>
      <c r="Q3" s="26">
        <v>3</v>
      </c>
      <c r="R3" s="26">
        <v>3</v>
      </c>
      <c r="S3" s="26">
        <v>3</v>
      </c>
      <c r="T3" s="27">
        <f t="shared" ref="T3:T49" si="2">AVERAGE(Q3:S3)</f>
        <v>3</v>
      </c>
      <c r="U3" s="42">
        <f t="shared" ref="U3:U49" si="3">AVERAGE(J3:K3,M3:O3,Q3:S3)</f>
        <v>4</v>
      </c>
      <c r="W3" s="28">
        <v>7</v>
      </c>
      <c r="X3" s="26">
        <v>7</v>
      </c>
      <c r="Y3" s="26">
        <v>4</v>
      </c>
      <c r="Z3" s="26">
        <v>6</v>
      </c>
      <c r="AA3" s="26">
        <v>7</v>
      </c>
      <c r="AB3" s="26">
        <v>7</v>
      </c>
      <c r="AC3" s="27">
        <f t="shared" ref="AC3:AC49" si="4">(X3+(7-Y3)+Z3+AA3+AB3)/5</f>
        <v>6</v>
      </c>
      <c r="AD3" s="26">
        <v>6</v>
      </c>
      <c r="AE3" s="26">
        <v>7</v>
      </c>
      <c r="AF3" s="26">
        <v>4</v>
      </c>
      <c r="AG3" s="26">
        <v>6</v>
      </c>
      <c r="AH3" s="27">
        <f t="shared" ref="AH3:AH49" si="5">(AD3+AE3+(7-AF3)+AG3)/4</f>
        <v>5.5</v>
      </c>
      <c r="AI3" s="26">
        <v>2</v>
      </c>
      <c r="AJ3" s="26">
        <v>5</v>
      </c>
      <c r="AK3" s="26">
        <v>4</v>
      </c>
      <c r="AL3" s="26">
        <v>4</v>
      </c>
      <c r="AM3" s="27">
        <f t="shared" ref="AM3:AM49" si="6">((7-AI3)+AJ3+AK3+AL3)/4</f>
        <v>4.5</v>
      </c>
      <c r="AN3" s="42">
        <f t="shared" ref="AN3:AN49" si="7">(SUM(W3:X3,Z3:AB3,AD3:AE3,AG3,AJ3:AL3)+3*7-SUM(Y3,AF3,AI3))/14</f>
        <v>5.5</v>
      </c>
      <c r="AP3" s="41">
        <v>5</v>
      </c>
      <c r="AQ3" s="26">
        <v>5</v>
      </c>
      <c r="AR3" s="26">
        <v>4</v>
      </c>
      <c r="AS3" s="26">
        <v>6</v>
      </c>
      <c r="AT3" s="27">
        <f t="shared" ref="AT3:AT49" si="8">AVERAGE(AP3:AS3)</f>
        <v>5</v>
      </c>
      <c r="AU3" s="26">
        <v>6</v>
      </c>
      <c r="AV3" s="26">
        <v>6</v>
      </c>
      <c r="AW3" s="26">
        <v>6</v>
      </c>
      <c r="AX3" s="26">
        <v>4</v>
      </c>
      <c r="AY3" s="27">
        <f t="shared" ref="AY3:AY49" si="9">AVERAGE(AU3:AX3)</f>
        <v>5.5</v>
      </c>
      <c r="AZ3" s="42">
        <f t="shared" ref="AZ3:AZ49" si="10">AVERAGE(AP3:AS3,AU3:AX3)</f>
        <v>5.25</v>
      </c>
      <c r="BB3" s="41">
        <v>4</v>
      </c>
      <c r="BC3" s="26">
        <v>4</v>
      </c>
      <c r="BD3" s="26">
        <v>5</v>
      </c>
      <c r="BE3" s="26">
        <v>3</v>
      </c>
      <c r="BF3" s="27">
        <f t="shared" ref="BF3:BF49" si="11">(BB3+BC3+BE3+(7-BD3))/4</f>
        <v>3.25</v>
      </c>
      <c r="BG3" s="26">
        <v>6</v>
      </c>
      <c r="BH3" s="26">
        <v>6</v>
      </c>
      <c r="BI3" s="26">
        <v>3</v>
      </c>
      <c r="BJ3" s="27">
        <f t="shared" ref="BJ3:BJ49" si="12">(BG3+BH3+(7-BI3))/3</f>
        <v>5.33333333333333</v>
      </c>
      <c r="BK3" s="42">
        <f t="shared" ref="BK3:BK49" si="13">(SUM(BB3:BC3,BE3,BG3,BH3)+2*7-SUM(BD3,BI3))/7</f>
        <v>4.14285714285714</v>
      </c>
      <c r="BM3" s="41">
        <v>4</v>
      </c>
      <c r="BN3" s="26">
        <v>4</v>
      </c>
      <c r="BO3" s="42">
        <f t="shared" ref="BO3:BO49" si="14">SUM(BM3:BN3)</f>
        <v>8</v>
      </c>
      <c r="BP3" s="41">
        <v>5</v>
      </c>
      <c r="BQ3" s="26">
        <v>5</v>
      </c>
      <c r="BR3" s="42">
        <f t="shared" ref="BR3:BR49" si="15">SUM(BP3:BQ3)</f>
        <v>10</v>
      </c>
      <c r="BS3" s="26">
        <f t="shared" ref="BS3:BS49" si="16">BR3-BO3</f>
        <v>2</v>
      </c>
      <c r="BU3" s="46">
        <v>2</v>
      </c>
      <c r="BV3" s="46">
        <v>1</v>
      </c>
      <c r="BW3" s="46">
        <v>2</v>
      </c>
      <c r="BX3" s="46">
        <v>3</v>
      </c>
      <c r="BY3" s="46">
        <v>19</v>
      </c>
      <c r="BZ3" s="46">
        <v>2</v>
      </c>
      <c r="CA3" s="46">
        <v>1</v>
      </c>
      <c r="CB3" s="46">
        <v>1</v>
      </c>
      <c r="CC3" s="46">
        <v>2</v>
      </c>
      <c r="CD3" s="46">
        <v>3</v>
      </c>
      <c r="CE3" s="46">
        <v>1</v>
      </c>
      <c r="CF3" s="46">
        <v>2</v>
      </c>
      <c r="CG3" s="46">
        <v>3</v>
      </c>
      <c r="CH3" s="46">
        <v>2</v>
      </c>
      <c r="CI3" s="26"/>
      <c r="CJ3" s="46">
        <v>344.1592</v>
      </c>
    </row>
    <row r="4" ht="14.5" spans="1:88">
      <c r="A4" t="s">
        <v>90</v>
      </c>
      <c r="B4">
        <v>17</v>
      </c>
      <c r="C4" t="s">
        <v>91</v>
      </c>
      <c r="D4" t="s">
        <v>84</v>
      </c>
      <c r="E4" t="s">
        <v>85</v>
      </c>
      <c r="F4" t="s">
        <v>86</v>
      </c>
      <c r="G4" t="s">
        <v>86</v>
      </c>
      <c r="H4" t="s">
        <v>86</v>
      </c>
      <c r="J4" s="7">
        <v>3</v>
      </c>
      <c r="K4">
        <v>3</v>
      </c>
      <c r="L4" s="27">
        <f t="shared" si="0"/>
        <v>3</v>
      </c>
      <c r="M4">
        <v>4</v>
      </c>
      <c r="N4">
        <v>4</v>
      </c>
      <c r="O4">
        <v>4</v>
      </c>
      <c r="P4" s="27">
        <f t="shared" si="1"/>
        <v>4</v>
      </c>
      <c r="Q4">
        <v>3</v>
      </c>
      <c r="R4">
        <v>2</v>
      </c>
      <c r="S4">
        <v>3</v>
      </c>
      <c r="T4" s="27">
        <f t="shared" si="2"/>
        <v>2.66666666666667</v>
      </c>
      <c r="U4" s="8">
        <f t="shared" si="3"/>
        <v>3.25</v>
      </c>
      <c r="W4" s="28">
        <v>5</v>
      </c>
      <c r="X4">
        <v>5</v>
      </c>
      <c r="Y4">
        <v>4</v>
      </c>
      <c r="Z4">
        <v>2</v>
      </c>
      <c r="AA4">
        <v>4</v>
      </c>
      <c r="AB4">
        <v>5</v>
      </c>
      <c r="AC4" s="27">
        <f t="shared" si="4"/>
        <v>3.8</v>
      </c>
      <c r="AD4">
        <v>5</v>
      </c>
      <c r="AE4">
        <v>4</v>
      </c>
      <c r="AF4">
        <v>3</v>
      </c>
      <c r="AG4">
        <v>4</v>
      </c>
      <c r="AH4" s="27">
        <f t="shared" si="5"/>
        <v>4.25</v>
      </c>
      <c r="AI4">
        <v>5</v>
      </c>
      <c r="AJ4">
        <v>5</v>
      </c>
      <c r="AK4">
        <v>5</v>
      </c>
      <c r="AL4">
        <v>3</v>
      </c>
      <c r="AM4" s="27">
        <f t="shared" si="6"/>
        <v>3.75</v>
      </c>
      <c r="AN4" s="8">
        <f t="shared" si="7"/>
        <v>4</v>
      </c>
      <c r="AP4" s="7">
        <v>4</v>
      </c>
      <c r="AQ4">
        <v>4</v>
      </c>
      <c r="AR4">
        <v>4</v>
      </c>
      <c r="AS4">
        <v>4</v>
      </c>
      <c r="AT4" s="27">
        <f t="shared" si="8"/>
        <v>4</v>
      </c>
      <c r="AU4">
        <v>5</v>
      </c>
      <c r="AV4">
        <v>4</v>
      </c>
      <c r="AW4">
        <v>5</v>
      </c>
      <c r="AX4">
        <v>5</v>
      </c>
      <c r="AY4" s="27">
        <f t="shared" si="9"/>
        <v>4.75</v>
      </c>
      <c r="AZ4" s="8">
        <f t="shared" si="10"/>
        <v>4.375</v>
      </c>
      <c r="BB4" s="7">
        <v>5</v>
      </c>
      <c r="BC4">
        <v>4</v>
      </c>
      <c r="BD4">
        <v>3</v>
      </c>
      <c r="BE4">
        <v>4</v>
      </c>
      <c r="BF4" s="27">
        <f t="shared" si="11"/>
        <v>4.25</v>
      </c>
      <c r="BG4">
        <v>6</v>
      </c>
      <c r="BH4">
        <v>6</v>
      </c>
      <c r="BI4">
        <v>4</v>
      </c>
      <c r="BJ4" s="27">
        <f t="shared" si="12"/>
        <v>5</v>
      </c>
      <c r="BK4" s="8">
        <f t="shared" si="13"/>
        <v>4.57142857142857</v>
      </c>
      <c r="BM4" s="7">
        <v>3</v>
      </c>
      <c r="BN4">
        <v>1</v>
      </c>
      <c r="BO4" s="8">
        <f t="shared" si="14"/>
        <v>4</v>
      </c>
      <c r="BP4" s="7">
        <v>4</v>
      </c>
      <c r="BQ4">
        <v>5</v>
      </c>
      <c r="BR4" s="8">
        <f t="shared" si="15"/>
        <v>9</v>
      </c>
      <c r="BS4">
        <f t="shared" si="16"/>
        <v>5</v>
      </c>
      <c r="BU4" s="2">
        <v>1</v>
      </c>
      <c r="BV4" s="2">
        <v>0</v>
      </c>
      <c r="BW4" s="2">
        <v>0</v>
      </c>
      <c r="BX4" s="2">
        <v>0</v>
      </c>
      <c r="BY4" s="2">
        <v>16</v>
      </c>
      <c r="BZ4" s="2">
        <v>1</v>
      </c>
      <c r="CA4" s="2">
        <v>0</v>
      </c>
      <c r="CB4" s="2">
        <v>1</v>
      </c>
      <c r="CC4" s="2">
        <v>1</v>
      </c>
      <c r="CD4" s="2">
        <v>1</v>
      </c>
      <c r="CE4" s="2">
        <v>0</v>
      </c>
      <c r="CF4" s="2">
        <v>1</v>
      </c>
      <c r="CG4" s="2">
        <v>1</v>
      </c>
      <c r="CH4" s="2">
        <v>3</v>
      </c>
      <c r="CJ4" s="2">
        <v>139.4103</v>
      </c>
    </row>
    <row r="5" ht="14.5" spans="1:88">
      <c r="A5" t="s">
        <v>92</v>
      </c>
      <c r="B5">
        <v>16</v>
      </c>
      <c r="C5" t="s">
        <v>91</v>
      </c>
      <c r="D5" t="s">
        <v>84</v>
      </c>
      <c r="E5" t="s">
        <v>85</v>
      </c>
      <c r="F5" t="s">
        <v>86</v>
      </c>
      <c r="G5" t="s">
        <v>87</v>
      </c>
      <c r="H5" t="s">
        <v>86</v>
      </c>
      <c r="J5" s="7">
        <v>1</v>
      </c>
      <c r="K5">
        <v>1</v>
      </c>
      <c r="L5" s="27">
        <f t="shared" si="0"/>
        <v>1</v>
      </c>
      <c r="M5">
        <v>7</v>
      </c>
      <c r="N5">
        <v>7</v>
      </c>
      <c r="O5">
        <v>7</v>
      </c>
      <c r="P5" s="27">
        <f t="shared" si="1"/>
        <v>7</v>
      </c>
      <c r="Q5">
        <v>1</v>
      </c>
      <c r="R5">
        <v>1</v>
      </c>
      <c r="S5">
        <v>1</v>
      </c>
      <c r="T5" s="27">
        <f t="shared" si="2"/>
        <v>1</v>
      </c>
      <c r="U5" s="8">
        <f t="shared" si="3"/>
        <v>3.25</v>
      </c>
      <c r="W5" s="28">
        <v>7</v>
      </c>
      <c r="X5">
        <v>7</v>
      </c>
      <c r="Y5">
        <v>1</v>
      </c>
      <c r="Z5">
        <v>1</v>
      </c>
      <c r="AA5">
        <v>7</v>
      </c>
      <c r="AB5">
        <v>7</v>
      </c>
      <c r="AC5" s="27">
        <f t="shared" si="4"/>
        <v>5.6</v>
      </c>
      <c r="AD5">
        <v>5</v>
      </c>
      <c r="AE5">
        <v>4</v>
      </c>
      <c r="AF5">
        <v>4</v>
      </c>
      <c r="AG5">
        <v>5</v>
      </c>
      <c r="AH5" s="27">
        <f t="shared" si="5"/>
        <v>4.25</v>
      </c>
      <c r="AI5">
        <v>2</v>
      </c>
      <c r="AJ5">
        <v>7</v>
      </c>
      <c r="AK5">
        <v>1</v>
      </c>
      <c r="AL5">
        <v>7</v>
      </c>
      <c r="AM5" s="27">
        <f t="shared" si="6"/>
        <v>5</v>
      </c>
      <c r="AN5" s="8">
        <f t="shared" si="7"/>
        <v>5.14285714285714</v>
      </c>
      <c r="AP5" s="7">
        <v>7</v>
      </c>
      <c r="AQ5">
        <v>7</v>
      </c>
      <c r="AR5">
        <v>7</v>
      </c>
      <c r="AS5">
        <v>7</v>
      </c>
      <c r="AT5" s="27">
        <f t="shared" si="8"/>
        <v>7</v>
      </c>
      <c r="AU5">
        <v>7</v>
      </c>
      <c r="AV5">
        <v>7</v>
      </c>
      <c r="AW5">
        <v>7</v>
      </c>
      <c r="AX5">
        <v>7</v>
      </c>
      <c r="AY5" s="27">
        <f t="shared" si="9"/>
        <v>7</v>
      </c>
      <c r="AZ5" s="8">
        <f t="shared" si="10"/>
        <v>7</v>
      </c>
      <c r="BB5" s="7">
        <v>7</v>
      </c>
      <c r="BC5">
        <v>7</v>
      </c>
      <c r="BD5">
        <v>1</v>
      </c>
      <c r="BE5">
        <v>7</v>
      </c>
      <c r="BF5" s="27">
        <f t="shared" si="11"/>
        <v>6.75</v>
      </c>
      <c r="BG5">
        <v>7</v>
      </c>
      <c r="BH5">
        <v>7</v>
      </c>
      <c r="BI5">
        <v>1</v>
      </c>
      <c r="BJ5" s="27">
        <f t="shared" si="12"/>
        <v>6.66666666666667</v>
      </c>
      <c r="BK5" s="8">
        <f t="shared" si="13"/>
        <v>6.71428571428571</v>
      </c>
      <c r="BM5" s="7">
        <v>5</v>
      </c>
      <c r="BN5">
        <v>5</v>
      </c>
      <c r="BO5" s="8">
        <f t="shared" si="14"/>
        <v>10</v>
      </c>
      <c r="BP5" s="7">
        <v>5</v>
      </c>
      <c r="BQ5">
        <v>5</v>
      </c>
      <c r="BR5" s="8">
        <f t="shared" si="15"/>
        <v>10</v>
      </c>
      <c r="BS5">
        <f t="shared" si="16"/>
        <v>0</v>
      </c>
      <c r="BU5" s="2">
        <v>1</v>
      </c>
      <c r="BV5" s="2">
        <v>1</v>
      </c>
      <c r="BW5" s="2">
        <v>1</v>
      </c>
      <c r="BX5" s="2">
        <v>0</v>
      </c>
      <c r="BY5" s="2">
        <v>16</v>
      </c>
      <c r="BZ5" s="2">
        <v>2</v>
      </c>
      <c r="CA5" s="2">
        <v>0</v>
      </c>
      <c r="CB5" s="2">
        <v>1</v>
      </c>
      <c r="CC5" s="2">
        <v>1</v>
      </c>
      <c r="CD5" s="2">
        <v>1</v>
      </c>
      <c r="CE5" s="2">
        <v>0</v>
      </c>
      <c r="CF5" s="2">
        <v>0</v>
      </c>
      <c r="CG5" s="2">
        <v>2</v>
      </c>
      <c r="CH5" s="2">
        <v>2</v>
      </c>
      <c r="CJ5" s="2">
        <v>282.5554</v>
      </c>
    </row>
    <row r="6" ht="14.5" spans="1:88">
      <c r="A6" t="s">
        <v>93</v>
      </c>
      <c r="B6">
        <v>16</v>
      </c>
      <c r="C6" t="s">
        <v>91</v>
      </c>
      <c r="D6" t="s">
        <v>84</v>
      </c>
      <c r="E6" t="s">
        <v>85</v>
      </c>
      <c r="F6" t="s">
        <v>86</v>
      </c>
      <c r="G6" t="s">
        <v>87</v>
      </c>
      <c r="H6" t="s">
        <v>86</v>
      </c>
      <c r="J6" s="7">
        <v>4</v>
      </c>
      <c r="K6">
        <v>2</v>
      </c>
      <c r="L6" s="27">
        <f t="shared" si="0"/>
        <v>3</v>
      </c>
      <c r="M6">
        <v>6</v>
      </c>
      <c r="N6">
        <v>6</v>
      </c>
      <c r="O6">
        <v>6</v>
      </c>
      <c r="P6" s="27">
        <f t="shared" si="1"/>
        <v>6</v>
      </c>
      <c r="Q6">
        <v>2</v>
      </c>
      <c r="R6">
        <v>2</v>
      </c>
      <c r="S6">
        <v>2</v>
      </c>
      <c r="T6" s="27">
        <f t="shared" si="2"/>
        <v>2</v>
      </c>
      <c r="U6" s="8">
        <f t="shared" si="3"/>
        <v>3.75</v>
      </c>
      <c r="W6" s="28">
        <v>7</v>
      </c>
      <c r="X6">
        <v>7</v>
      </c>
      <c r="Y6">
        <v>4</v>
      </c>
      <c r="Z6">
        <v>4</v>
      </c>
      <c r="AA6">
        <v>5</v>
      </c>
      <c r="AB6">
        <v>5</v>
      </c>
      <c r="AC6" s="27">
        <f t="shared" si="4"/>
        <v>4.8</v>
      </c>
      <c r="AD6">
        <v>3</v>
      </c>
      <c r="AE6">
        <v>3</v>
      </c>
      <c r="AF6">
        <v>3</v>
      </c>
      <c r="AG6">
        <v>5</v>
      </c>
      <c r="AH6" s="27">
        <f t="shared" si="5"/>
        <v>3.75</v>
      </c>
      <c r="AI6">
        <v>5</v>
      </c>
      <c r="AJ6">
        <v>6</v>
      </c>
      <c r="AK6">
        <v>1</v>
      </c>
      <c r="AL6">
        <v>1</v>
      </c>
      <c r="AM6" s="27">
        <f t="shared" si="6"/>
        <v>2.5</v>
      </c>
      <c r="AN6" s="8">
        <f t="shared" si="7"/>
        <v>4</v>
      </c>
      <c r="AP6" s="7">
        <v>4</v>
      </c>
      <c r="AQ6">
        <v>5</v>
      </c>
      <c r="AR6">
        <v>4</v>
      </c>
      <c r="AS6">
        <v>4</v>
      </c>
      <c r="AT6" s="27">
        <f t="shared" si="8"/>
        <v>4.25</v>
      </c>
      <c r="AU6">
        <v>5</v>
      </c>
      <c r="AV6">
        <v>6</v>
      </c>
      <c r="AW6">
        <v>6</v>
      </c>
      <c r="AX6">
        <v>6</v>
      </c>
      <c r="AY6" s="27">
        <f t="shared" si="9"/>
        <v>5.75</v>
      </c>
      <c r="AZ6" s="8">
        <f t="shared" si="10"/>
        <v>5</v>
      </c>
      <c r="BB6" s="7">
        <v>5</v>
      </c>
      <c r="BC6">
        <v>5</v>
      </c>
      <c r="BD6">
        <v>4</v>
      </c>
      <c r="BE6">
        <v>4</v>
      </c>
      <c r="BF6" s="27">
        <f t="shared" si="11"/>
        <v>4.25</v>
      </c>
      <c r="BG6">
        <v>6</v>
      </c>
      <c r="BH6">
        <v>6</v>
      </c>
      <c r="BI6">
        <v>3</v>
      </c>
      <c r="BJ6" s="27">
        <f t="shared" si="12"/>
        <v>5.33333333333333</v>
      </c>
      <c r="BK6" s="8">
        <f t="shared" si="13"/>
        <v>4.71428571428571</v>
      </c>
      <c r="BM6" s="7">
        <v>5</v>
      </c>
      <c r="BN6">
        <v>5</v>
      </c>
      <c r="BO6" s="8">
        <f t="shared" si="14"/>
        <v>10</v>
      </c>
      <c r="BP6" s="7">
        <v>5</v>
      </c>
      <c r="BQ6">
        <v>5</v>
      </c>
      <c r="BR6" s="8">
        <f t="shared" si="15"/>
        <v>10</v>
      </c>
      <c r="BS6">
        <f t="shared" si="16"/>
        <v>0</v>
      </c>
      <c r="BU6" s="2">
        <v>1</v>
      </c>
      <c r="BV6" s="2">
        <v>1</v>
      </c>
      <c r="BW6" s="2">
        <v>1</v>
      </c>
      <c r="BX6" s="2">
        <v>0</v>
      </c>
      <c r="BY6" s="2">
        <v>15</v>
      </c>
      <c r="BZ6" s="2">
        <v>1</v>
      </c>
      <c r="CA6" s="2">
        <v>0</v>
      </c>
      <c r="CB6" s="2">
        <v>1</v>
      </c>
      <c r="CC6" s="2">
        <v>1</v>
      </c>
      <c r="CD6" s="2">
        <v>1</v>
      </c>
      <c r="CE6" s="2">
        <v>0</v>
      </c>
      <c r="CF6" s="2">
        <v>2</v>
      </c>
      <c r="CG6" s="2">
        <v>2</v>
      </c>
      <c r="CH6" s="2">
        <v>2</v>
      </c>
      <c r="CJ6" s="2">
        <v>327.9009</v>
      </c>
    </row>
    <row r="7" ht="14.5" spans="1:88">
      <c r="A7" t="s">
        <v>94</v>
      </c>
      <c r="B7">
        <v>16</v>
      </c>
      <c r="C7" t="s">
        <v>91</v>
      </c>
      <c r="D7" t="s">
        <v>84</v>
      </c>
      <c r="E7" t="s">
        <v>85</v>
      </c>
      <c r="F7" t="s">
        <v>86</v>
      </c>
      <c r="G7" t="s">
        <v>87</v>
      </c>
      <c r="H7" t="s">
        <v>86</v>
      </c>
      <c r="J7" s="7">
        <v>2</v>
      </c>
      <c r="K7">
        <v>2</v>
      </c>
      <c r="L7" s="27">
        <f t="shared" si="0"/>
        <v>2</v>
      </c>
      <c r="M7">
        <v>7</v>
      </c>
      <c r="N7">
        <v>7</v>
      </c>
      <c r="O7">
        <v>7</v>
      </c>
      <c r="P7" s="27">
        <f t="shared" si="1"/>
        <v>7</v>
      </c>
      <c r="Q7">
        <v>2</v>
      </c>
      <c r="R7">
        <v>2</v>
      </c>
      <c r="S7">
        <v>2</v>
      </c>
      <c r="T7" s="27">
        <f t="shared" si="2"/>
        <v>2</v>
      </c>
      <c r="U7" s="8">
        <f t="shared" si="3"/>
        <v>3.875</v>
      </c>
      <c r="W7" s="28">
        <v>7</v>
      </c>
      <c r="X7">
        <v>6</v>
      </c>
      <c r="Y7">
        <v>2</v>
      </c>
      <c r="Z7">
        <v>6</v>
      </c>
      <c r="AA7">
        <v>4</v>
      </c>
      <c r="AB7">
        <v>5</v>
      </c>
      <c r="AC7" s="27">
        <f t="shared" si="4"/>
        <v>5.2</v>
      </c>
      <c r="AD7">
        <v>5</v>
      </c>
      <c r="AE7">
        <v>5</v>
      </c>
      <c r="AF7">
        <v>3</v>
      </c>
      <c r="AG7">
        <v>5</v>
      </c>
      <c r="AH7" s="27">
        <f t="shared" si="5"/>
        <v>4.75</v>
      </c>
      <c r="AI7">
        <v>3</v>
      </c>
      <c r="AJ7">
        <v>4</v>
      </c>
      <c r="AK7">
        <v>3</v>
      </c>
      <c r="AL7">
        <v>2</v>
      </c>
      <c r="AM7" s="27">
        <f t="shared" si="6"/>
        <v>3.25</v>
      </c>
      <c r="AN7" s="8">
        <f t="shared" si="7"/>
        <v>4.64285714285714</v>
      </c>
      <c r="AP7" s="7">
        <v>3</v>
      </c>
      <c r="AQ7">
        <v>4</v>
      </c>
      <c r="AR7">
        <v>6</v>
      </c>
      <c r="AS7">
        <v>3</v>
      </c>
      <c r="AT7" s="27">
        <f t="shared" si="8"/>
        <v>4</v>
      </c>
      <c r="AU7">
        <v>6</v>
      </c>
      <c r="AV7">
        <v>3</v>
      </c>
      <c r="AW7">
        <v>5</v>
      </c>
      <c r="AX7">
        <v>6</v>
      </c>
      <c r="AY7" s="27">
        <f t="shared" si="9"/>
        <v>5</v>
      </c>
      <c r="AZ7" s="8">
        <f t="shared" si="10"/>
        <v>4.5</v>
      </c>
      <c r="BB7" s="7">
        <v>6</v>
      </c>
      <c r="BC7">
        <v>6</v>
      </c>
      <c r="BD7">
        <v>3</v>
      </c>
      <c r="BE7">
        <v>4</v>
      </c>
      <c r="BF7" s="27">
        <f t="shared" si="11"/>
        <v>5</v>
      </c>
      <c r="BG7">
        <v>5</v>
      </c>
      <c r="BH7">
        <v>5</v>
      </c>
      <c r="BI7">
        <v>3</v>
      </c>
      <c r="BJ7" s="27">
        <f t="shared" si="12"/>
        <v>4.66666666666667</v>
      </c>
      <c r="BK7" s="8">
        <f t="shared" si="13"/>
        <v>4.85714285714286</v>
      </c>
      <c r="BM7" s="7">
        <v>5</v>
      </c>
      <c r="BN7">
        <v>5</v>
      </c>
      <c r="BO7" s="8">
        <f t="shared" si="14"/>
        <v>10</v>
      </c>
      <c r="BP7" s="7">
        <v>5</v>
      </c>
      <c r="BQ7">
        <v>5</v>
      </c>
      <c r="BR7" s="8">
        <f t="shared" si="15"/>
        <v>10</v>
      </c>
      <c r="BS7">
        <f t="shared" si="16"/>
        <v>0</v>
      </c>
      <c r="BU7" s="2">
        <v>1</v>
      </c>
      <c r="BV7" s="2">
        <v>1</v>
      </c>
      <c r="BW7" s="2">
        <v>1</v>
      </c>
      <c r="BX7" s="2">
        <v>1</v>
      </c>
      <c r="BY7" s="2">
        <v>16</v>
      </c>
      <c r="BZ7" s="2">
        <v>1</v>
      </c>
      <c r="CA7" s="2">
        <v>0</v>
      </c>
      <c r="CB7" s="2">
        <v>1</v>
      </c>
      <c r="CC7" s="2">
        <v>1</v>
      </c>
      <c r="CD7" s="2">
        <v>2</v>
      </c>
      <c r="CE7" s="2">
        <v>0</v>
      </c>
      <c r="CF7" s="2">
        <v>1</v>
      </c>
      <c r="CG7" s="2">
        <v>1</v>
      </c>
      <c r="CH7" s="2">
        <v>1</v>
      </c>
      <c r="CJ7" s="2">
        <v>295.4995</v>
      </c>
    </row>
    <row r="8" ht="14.5" spans="1:88">
      <c r="A8" t="s">
        <v>95</v>
      </c>
      <c r="B8">
        <v>16</v>
      </c>
      <c r="C8" t="s">
        <v>91</v>
      </c>
      <c r="D8" t="s">
        <v>84</v>
      </c>
      <c r="E8" t="s">
        <v>85</v>
      </c>
      <c r="F8" t="s">
        <v>86</v>
      </c>
      <c r="G8" t="s">
        <v>87</v>
      </c>
      <c r="H8" t="s">
        <v>86</v>
      </c>
      <c r="J8" s="7">
        <v>5</v>
      </c>
      <c r="K8">
        <v>4</v>
      </c>
      <c r="L8" s="27">
        <f t="shared" si="0"/>
        <v>4.5</v>
      </c>
      <c r="M8">
        <v>6</v>
      </c>
      <c r="N8">
        <v>6</v>
      </c>
      <c r="O8">
        <v>4</v>
      </c>
      <c r="P8" s="27">
        <f t="shared" si="1"/>
        <v>5.33333333333333</v>
      </c>
      <c r="Q8">
        <v>2</v>
      </c>
      <c r="R8">
        <v>2</v>
      </c>
      <c r="S8">
        <v>2</v>
      </c>
      <c r="T8" s="27">
        <f t="shared" si="2"/>
        <v>2</v>
      </c>
      <c r="U8" s="8">
        <f t="shared" si="3"/>
        <v>3.875</v>
      </c>
      <c r="W8" s="28">
        <v>6</v>
      </c>
      <c r="X8">
        <v>6</v>
      </c>
      <c r="Y8">
        <v>3</v>
      </c>
      <c r="Z8">
        <v>5</v>
      </c>
      <c r="AA8">
        <v>6</v>
      </c>
      <c r="AB8">
        <v>6</v>
      </c>
      <c r="AC8" s="27">
        <f t="shared" si="4"/>
        <v>5.4</v>
      </c>
      <c r="AD8">
        <v>2</v>
      </c>
      <c r="AE8">
        <v>6</v>
      </c>
      <c r="AF8">
        <v>4</v>
      </c>
      <c r="AG8">
        <v>6</v>
      </c>
      <c r="AH8" s="27">
        <f t="shared" si="5"/>
        <v>4.25</v>
      </c>
      <c r="AI8">
        <v>3</v>
      </c>
      <c r="AJ8">
        <v>3</v>
      </c>
      <c r="AK8">
        <v>2</v>
      </c>
      <c r="AL8">
        <v>2</v>
      </c>
      <c r="AM8" s="27">
        <f t="shared" si="6"/>
        <v>2.75</v>
      </c>
      <c r="AN8" s="8">
        <f t="shared" si="7"/>
        <v>4.35714285714286</v>
      </c>
      <c r="AP8" s="7">
        <v>4</v>
      </c>
      <c r="AQ8">
        <v>3</v>
      </c>
      <c r="AR8">
        <v>3</v>
      </c>
      <c r="AS8">
        <v>3</v>
      </c>
      <c r="AT8" s="27">
        <f t="shared" si="8"/>
        <v>3.25</v>
      </c>
      <c r="AU8">
        <v>5</v>
      </c>
      <c r="AV8">
        <v>5</v>
      </c>
      <c r="AW8">
        <v>5</v>
      </c>
      <c r="AX8">
        <v>6</v>
      </c>
      <c r="AY8" s="27">
        <f t="shared" si="9"/>
        <v>5.25</v>
      </c>
      <c r="AZ8" s="8">
        <f t="shared" si="10"/>
        <v>4.25</v>
      </c>
      <c r="BB8" s="7">
        <v>3</v>
      </c>
      <c r="BC8">
        <v>2</v>
      </c>
      <c r="BD8">
        <v>6</v>
      </c>
      <c r="BE8">
        <v>3</v>
      </c>
      <c r="BF8" s="27">
        <f t="shared" si="11"/>
        <v>2.25</v>
      </c>
      <c r="BG8">
        <v>4</v>
      </c>
      <c r="BH8">
        <v>2</v>
      </c>
      <c r="BI8">
        <v>5</v>
      </c>
      <c r="BJ8" s="27">
        <f t="shared" si="12"/>
        <v>2.66666666666667</v>
      </c>
      <c r="BK8" s="8">
        <f t="shared" si="13"/>
        <v>2.42857142857143</v>
      </c>
      <c r="BM8" s="7">
        <v>5</v>
      </c>
      <c r="BN8">
        <v>5</v>
      </c>
      <c r="BO8" s="8">
        <f t="shared" si="14"/>
        <v>10</v>
      </c>
      <c r="BP8" s="7">
        <v>5</v>
      </c>
      <c r="BQ8">
        <v>5</v>
      </c>
      <c r="BR8" s="8">
        <f t="shared" si="15"/>
        <v>10</v>
      </c>
      <c r="BS8">
        <f t="shared" si="16"/>
        <v>0</v>
      </c>
      <c r="BU8" s="2">
        <v>1</v>
      </c>
      <c r="BV8" s="2">
        <v>2</v>
      </c>
      <c r="BW8" s="2">
        <v>2</v>
      </c>
      <c r="BX8" s="2">
        <v>1</v>
      </c>
      <c r="BY8" s="2">
        <v>17</v>
      </c>
      <c r="BZ8" s="2">
        <v>3</v>
      </c>
      <c r="CA8" s="2">
        <v>0</v>
      </c>
      <c r="CB8" s="2">
        <v>0</v>
      </c>
      <c r="CC8" s="2">
        <v>1</v>
      </c>
      <c r="CD8" s="2">
        <v>1</v>
      </c>
      <c r="CE8" s="2">
        <v>0</v>
      </c>
      <c r="CF8" s="2">
        <v>1</v>
      </c>
      <c r="CG8" s="2">
        <v>1</v>
      </c>
      <c r="CH8" s="2">
        <v>4</v>
      </c>
      <c r="CJ8" s="2">
        <v>386.7593</v>
      </c>
    </row>
    <row r="9" ht="14.5" spans="1:88">
      <c r="A9" t="s">
        <v>96</v>
      </c>
      <c r="B9">
        <v>16</v>
      </c>
      <c r="C9" t="s">
        <v>91</v>
      </c>
      <c r="D9" t="s">
        <v>84</v>
      </c>
      <c r="E9" t="s">
        <v>85</v>
      </c>
      <c r="F9" t="s">
        <v>87</v>
      </c>
      <c r="G9" t="s">
        <v>87</v>
      </c>
      <c r="H9" t="s">
        <v>86</v>
      </c>
      <c r="J9" s="7">
        <v>6</v>
      </c>
      <c r="K9">
        <v>3</v>
      </c>
      <c r="L9" s="27">
        <f t="shared" si="0"/>
        <v>4.5</v>
      </c>
      <c r="M9">
        <v>7</v>
      </c>
      <c r="N9">
        <v>5</v>
      </c>
      <c r="O9">
        <v>5</v>
      </c>
      <c r="P9" s="27">
        <f t="shared" si="1"/>
        <v>5.66666666666667</v>
      </c>
      <c r="Q9">
        <v>2</v>
      </c>
      <c r="R9">
        <v>2</v>
      </c>
      <c r="S9">
        <v>2</v>
      </c>
      <c r="T9" s="27">
        <f t="shared" si="2"/>
        <v>2</v>
      </c>
      <c r="U9" s="8">
        <f t="shared" si="3"/>
        <v>4</v>
      </c>
      <c r="W9" s="28">
        <v>6</v>
      </c>
      <c r="X9">
        <v>6</v>
      </c>
      <c r="Y9">
        <v>5</v>
      </c>
      <c r="Z9">
        <v>4</v>
      </c>
      <c r="AA9">
        <v>5</v>
      </c>
      <c r="AB9">
        <v>4</v>
      </c>
      <c r="AC9" s="27">
        <f t="shared" si="4"/>
        <v>4.2</v>
      </c>
      <c r="AD9">
        <v>5</v>
      </c>
      <c r="AE9">
        <v>3</v>
      </c>
      <c r="AF9">
        <v>5</v>
      </c>
      <c r="AG9">
        <v>5</v>
      </c>
      <c r="AH9" s="27">
        <f t="shared" si="5"/>
        <v>3.75</v>
      </c>
      <c r="AI9">
        <v>3</v>
      </c>
      <c r="AJ9">
        <v>5</v>
      </c>
      <c r="AK9">
        <v>3</v>
      </c>
      <c r="AL9">
        <v>2</v>
      </c>
      <c r="AM9" s="27">
        <f t="shared" si="6"/>
        <v>3.5</v>
      </c>
      <c r="AN9" s="8">
        <f t="shared" si="7"/>
        <v>4</v>
      </c>
      <c r="AP9" s="7">
        <v>5</v>
      </c>
      <c r="AQ9">
        <v>5</v>
      </c>
      <c r="AR9">
        <v>6</v>
      </c>
      <c r="AS9">
        <v>6</v>
      </c>
      <c r="AT9" s="27">
        <f t="shared" si="8"/>
        <v>5.5</v>
      </c>
      <c r="AU9">
        <v>7</v>
      </c>
      <c r="AV9">
        <v>7</v>
      </c>
      <c r="AW9">
        <v>3</v>
      </c>
      <c r="AX9">
        <v>5</v>
      </c>
      <c r="AY9" s="27">
        <f t="shared" si="9"/>
        <v>5.5</v>
      </c>
      <c r="AZ9" s="8">
        <f t="shared" si="10"/>
        <v>5.5</v>
      </c>
      <c r="BB9" s="7">
        <v>6</v>
      </c>
      <c r="BC9">
        <v>6</v>
      </c>
      <c r="BD9">
        <v>6</v>
      </c>
      <c r="BE9">
        <v>5</v>
      </c>
      <c r="BF9" s="27">
        <f t="shared" si="11"/>
        <v>4.5</v>
      </c>
      <c r="BG9">
        <v>3</v>
      </c>
      <c r="BH9">
        <v>6</v>
      </c>
      <c r="BI9">
        <v>5</v>
      </c>
      <c r="BJ9" s="27">
        <f t="shared" si="12"/>
        <v>3.66666666666667</v>
      </c>
      <c r="BK9" s="8">
        <f t="shared" si="13"/>
        <v>4.14285714285714</v>
      </c>
      <c r="BM9" s="7">
        <v>5</v>
      </c>
      <c r="BN9">
        <v>3</v>
      </c>
      <c r="BO9" s="8">
        <f t="shared" si="14"/>
        <v>8</v>
      </c>
      <c r="BP9" s="7">
        <v>5</v>
      </c>
      <c r="BQ9">
        <v>3</v>
      </c>
      <c r="BR9" s="8">
        <f t="shared" si="15"/>
        <v>8</v>
      </c>
      <c r="BS9">
        <f t="shared" si="16"/>
        <v>0</v>
      </c>
      <c r="BU9" s="2">
        <v>1</v>
      </c>
      <c r="BV9" s="2">
        <v>4</v>
      </c>
      <c r="BW9" s="2">
        <v>4</v>
      </c>
      <c r="BX9" s="2">
        <v>0</v>
      </c>
      <c r="BY9" s="2">
        <v>14</v>
      </c>
      <c r="BZ9" s="2">
        <v>1</v>
      </c>
      <c r="CA9" s="2">
        <v>0</v>
      </c>
      <c r="CB9" s="2">
        <v>1</v>
      </c>
      <c r="CC9" s="2">
        <v>1</v>
      </c>
      <c r="CD9" s="2">
        <v>3</v>
      </c>
      <c r="CE9" s="2">
        <v>0</v>
      </c>
      <c r="CF9" s="2">
        <v>1</v>
      </c>
      <c r="CG9" s="2">
        <v>1</v>
      </c>
      <c r="CH9" s="2">
        <v>2</v>
      </c>
      <c r="CJ9" s="2">
        <v>313.9985</v>
      </c>
    </row>
    <row r="10" ht="14.5" spans="1:88">
      <c r="A10" t="s">
        <v>97</v>
      </c>
      <c r="B10">
        <v>17</v>
      </c>
      <c r="C10" t="s">
        <v>91</v>
      </c>
      <c r="D10" t="s">
        <v>84</v>
      </c>
      <c r="E10" t="s">
        <v>85</v>
      </c>
      <c r="F10" t="s">
        <v>86</v>
      </c>
      <c r="G10" t="s">
        <v>87</v>
      </c>
      <c r="H10" t="s">
        <v>86</v>
      </c>
      <c r="J10" s="7">
        <v>3</v>
      </c>
      <c r="K10">
        <v>2</v>
      </c>
      <c r="L10" s="27">
        <f t="shared" si="0"/>
        <v>2.5</v>
      </c>
      <c r="M10">
        <v>6</v>
      </c>
      <c r="N10">
        <v>7</v>
      </c>
      <c r="O10">
        <v>7</v>
      </c>
      <c r="P10" s="27">
        <f t="shared" si="1"/>
        <v>6.66666666666667</v>
      </c>
      <c r="Q10">
        <v>2</v>
      </c>
      <c r="R10">
        <v>1</v>
      </c>
      <c r="S10">
        <v>1</v>
      </c>
      <c r="T10" s="27">
        <f t="shared" si="2"/>
        <v>1.33333333333333</v>
      </c>
      <c r="U10" s="8">
        <f t="shared" si="3"/>
        <v>3.625</v>
      </c>
      <c r="W10" s="28">
        <v>6</v>
      </c>
      <c r="X10">
        <v>6</v>
      </c>
      <c r="Y10">
        <v>5</v>
      </c>
      <c r="Z10">
        <v>6</v>
      </c>
      <c r="AA10">
        <v>7</v>
      </c>
      <c r="AB10">
        <v>7</v>
      </c>
      <c r="AC10" s="27">
        <f t="shared" si="4"/>
        <v>5.6</v>
      </c>
      <c r="AD10">
        <v>6</v>
      </c>
      <c r="AE10">
        <v>5</v>
      </c>
      <c r="AF10">
        <v>2</v>
      </c>
      <c r="AG10">
        <v>6</v>
      </c>
      <c r="AH10" s="27">
        <f t="shared" si="5"/>
        <v>5.5</v>
      </c>
      <c r="AI10">
        <v>2</v>
      </c>
      <c r="AJ10">
        <v>6</v>
      </c>
      <c r="AK10">
        <v>5</v>
      </c>
      <c r="AL10">
        <v>1</v>
      </c>
      <c r="AM10" s="27">
        <f t="shared" si="6"/>
        <v>4.25</v>
      </c>
      <c r="AN10" s="8">
        <f t="shared" si="7"/>
        <v>5.21428571428571</v>
      </c>
      <c r="AP10" s="7">
        <v>5</v>
      </c>
      <c r="AQ10">
        <v>5</v>
      </c>
      <c r="AR10">
        <v>7</v>
      </c>
      <c r="AS10">
        <v>5</v>
      </c>
      <c r="AT10" s="27">
        <f t="shared" si="8"/>
        <v>5.5</v>
      </c>
      <c r="AU10">
        <v>6</v>
      </c>
      <c r="AV10">
        <v>6</v>
      </c>
      <c r="AW10">
        <v>7</v>
      </c>
      <c r="AX10">
        <v>5</v>
      </c>
      <c r="AY10" s="27">
        <f t="shared" si="9"/>
        <v>6</v>
      </c>
      <c r="AZ10" s="8">
        <f t="shared" si="10"/>
        <v>5.75</v>
      </c>
      <c r="BB10" s="7">
        <v>6</v>
      </c>
      <c r="BC10">
        <v>6</v>
      </c>
      <c r="BD10">
        <v>5</v>
      </c>
      <c r="BE10">
        <v>5</v>
      </c>
      <c r="BF10" s="27">
        <f t="shared" si="11"/>
        <v>4.75</v>
      </c>
      <c r="BG10">
        <v>6</v>
      </c>
      <c r="BH10">
        <v>7</v>
      </c>
      <c r="BI10">
        <v>2</v>
      </c>
      <c r="BJ10" s="27">
        <f t="shared" si="12"/>
        <v>6</v>
      </c>
      <c r="BK10" s="8">
        <f t="shared" si="13"/>
        <v>5.28571428571429</v>
      </c>
      <c r="BM10" s="7">
        <v>4</v>
      </c>
      <c r="BN10">
        <v>5</v>
      </c>
      <c r="BO10" s="8">
        <f t="shared" si="14"/>
        <v>9</v>
      </c>
      <c r="BP10" s="7">
        <v>5</v>
      </c>
      <c r="BQ10">
        <v>5</v>
      </c>
      <c r="BR10" s="8">
        <f t="shared" si="15"/>
        <v>10</v>
      </c>
      <c r="BS10">
        <f t="shared" si="16"/>
        <v>1</v>
      </c>
      <c r="BU10" s="2">
        <v>1</v>
      </c>
      <c r="BV10" s="2">
        <v>4</v>
      </c>
      <c r="BW10" s="2">
        <v>2</v>
      </c>
      <c r="BX10" s="2">
        <v>0</v>
      </c>
      <c r="BY10" s="2">
        <v>15</v>
      </c>
      <c r="BZ10" s="2">
        <v>1</v>
      </c>
      <c r="CA10" s="2">
        <v>1</v>
      </c>
      <c r="CB10" s="2">
        <v>1</v>
      </c>
      <c r="CC10" s="2">
        <v>3</v>
      </c>
      <c r="CD10" s="2">
        <v>3</v>
      </c>
      <c r="CE10" s="2">
        <v>1</v>
      </c>
      <c r="CF10" s="2">
        <v>1</v>
      </c>
      <c r="CG10" s="2">
        <v>2</v>
      </c>
      <c r="CH10" s="2">
        <v>3</v>
      </c>
      <c r="CJ10" s="2">
        <v>255.7786</v>
      </c>
    </row>
    <row r="11" ht="14.5" spans="1:88">
      <c r="A11" t="s">
        <v>98</v>
      </c>
      <c r="B11">
        <v>16</v>
      </c>
      <c r="C11" t="s">
        <v>91</v>
      </c>
      <c r="D11" t="s">
        <v>84</v>
      </c>
      <c r="E11" t="s">
        <v>85</v>
      </c>
      <c r="F11" t="s">
        <v>87</v>
      </c>
      <c r="G11" t="s">
        <v>87</v>
      </c>
      <c r="H11" t="s">
        <v>87</v>
      </c>
      <c r="J11" s="7">
        <v>1</v>
      </c>
      <c r="K11">
        <v>1</v>
      </c>
      <c r="L11" s="27">
        <f t="shared" si="0"/>
        <v>1</v>
      </c>
      <c r="M11">
        <v>7</v>
      </c>
      <c r="N11">
        <v>7</v>
      </c>
      <c r="O11">
        <v>7</v>
      </c>
      <c r="P11" s="27">
        <f t="shared" si="1"/>
        <v>7</v>
      </c>
      <c r="Q11">
        <v>1</v>
      </c>
      <c r="R11">
        <v>1</v>
      </c>
      <c r="S11">
        <v>1</v>
      </c>
      <c r="T11" s="27">
        <f t="shared" si="2"/>
        <v>1</v>
      </c>
      <c r="U11" s="8">
        <f t="shared" si="3"/>
        <v>3.25</v>
      </c>
      <c r="W11" s="28">
        <v>7</v>
      </c>
      <c r="X11">
        <v>6</v>
      </c>
      <c r="Y11">
        <v>2</v>
      </c>
      <c r="Z11">
        <v>4</v>
      </c>
      <c r="AA11">
        <v>6</v>
      </c>
      <c r="AB11">
        <v>4</v>
      </c>
      <c r="AC11" s="27">
        <f t="shared" si="4"/>
        <v>5</v>
      </c>
      <c r="AD11">
        <v>5</v>
      </c>
      <c r="AE11">
        <v>2</v>
      </c>
      <c r="AF11">
        <v>4</v>
      </c>
      <c r="AG11">
        <v>5</v>
      </c>
      <c r="AH11" s="27">
        <f t="shared" si="5"/>
        <v>3.75</v>
      </c>
      <c r="AI11">
        <v>5</v>
      </c>
      <c r="AJ11">
        <v>5</v>
      </c>
      <c r="AK11">
        <v>4</v>
      </c>
      <c r="AL11">
        <v>3</v>
      </c>
      <c r="AM11" s="27">
        <f t="shared" si="6"/>
        <v>3.5</v>
      </c>
      <c r="AN11" s="8">
        <f t="shared" si="7"/>
        <v>4.35714285714286</v>
      </c>
      <c r="AP11" s="7">
        <v>2</v>
      </c>
      <c r="AQ11">
        <v>2</v>
      </c>
      <c r="AR11">
        <v>5</v>
      </c>
      <c r="AS11">
        <v>6</v>
      </c>
      <c r="AT11" s="27">
        <f t="shared" si="8"/>
        <v>3.75</v>
      </c>
      <c r="AU11">
        <v>6</v>
      </c>
      <c r="AV11">
        <v>7</v>
      </c>
      <c r="AW11">
        <v>6</v>
      </c>
      <c r="AX11">
        <v>5</v>
      </c>
      <c r="AY11" s="27">
        <f t="shared" si="9"/>
        <v>6</v>
      </c>
      <c r="AZ11" s="8">
        <f t="shared" si="10"/>
        <v>4.875</v>
      </c>
      <c r="BB11" s="7">
        <v>7</v>
      </c>
      <c r="BC11">
        <v>6</v>
      </c>
      <c r="BD11">
        <v>2</v>
      </c>
      <c r="BE11">
        <v>5</v>
      </c>
      <c r="BF11" s="27">
        <f t="shared" si="11"/>
        <v>5.75</v>
      </c>
      <c r="BG11">
        <v>7</v>
      </c>
      <c r="BH11">
        <v>5</v>
      </c>
      <c r="BI11">
        <v>3</v>
      </c>
      <c r="BJ11" s="27">
        <f t="shared" si="12"/>
        <v>5.33333333333333</v>
      </c>
      <c r="BK11" s="8">
        <f t="shared" si="13"/>
        <v>5.57142857142857</v>
      </c>
      <c r="BM11" s="7">
        <v>5</v>
      </c>
      <c r="BN11">
        <v>5</v>
      </c>
      <c r="BO11" s="8">
        <f t="shared" si="14"/>
        <v>10</v>
      </c>
      <c r="BP11" s="7">
        <v>5</v>
      </c>
      <c r="BQ11">
        <v>5</v>
      </c>
      <c r="BR11" s="8">
        <f t="shared" si="15"/>
        <v>10</v>
      </c>
      <c r="BS11">
        <f t="shared" si="16"/>
        <v>0</v>
      </c>
      <c r="BU11" s="2">
        <v>1</v>
      </c>
      <c r="BV11" s="2">
        <v>1</v>
      </c>
      <c r="BW11" s="2">
        <v>1</v>
      </c>
      <c r="BX11" s="2">
        <v>0</v>
      </c>
      <c r="BY11" s="2">
        <v>15</v>
      </c>
      <c r="BZ11" s="2">
        <v>1</v>
      </c>
      <c r="CA11" s="2">
        <v>0</v>
      </c>
      <c r="CB11" s="2">
        <v>0</v>
      </c>
      <c r="CC11" s="2">
        <v>1</v>
      </c>
      <c r="CD11" s="2">
        <v>1</v>
      </c>
      <c r="CE11" s="2">
        <v>1</v>
      </c>
      <c r="CF11" s="2">
        <v>1</v>
      </c>
      <c r="CG11" s="2">
        <v>3</v>
      </c>
      <c r="CH11" s="2">
        <v>2</v>
      </c>
      <c r="CJ11" s="2">
        <v>407.9248</v>
      </c>
    </row>
    <row r="12" ht="14.5" spans="1:88">
      <c r="A12" t="s">
        <v>99</v>
      </c>
      <c r="B12">
        <v>17</v>
      </c>
      <c r="C12" t="s">
        <v>91</v>
      </c>
      <c r="D12" t="s">
        <v>84</v>
      </c>
      <c r="E12" t="s">
        <v>85</v>
      </c>
      <c r="F12" t="s">
        <v>87</v>
      </c>
      <c r="G12" t="s">
        <v>87</v>
      </c>
      <c r="H12" t="s">
        <v>87</v>
      </c>
      <c r="J12" s="7">
        <v>3</v>
      </c>
      <c r="K12">
        <v>1</v>
      </c>
      <c r="L12" s="27">
        <f t="shared" si="0"/>
        <v>2</v>
      </c>
      <c r="M12">
        <v>2</v>
      </c>
      <c r="N12">
        <v>4</v>
      </c>
      <c r="O12">
        <v>6</v>
      </c>
      <c r="P12" s="27">
        <f t="shared" si="1"/>
        <v>4</v>
      </c>
      <c r="Q12">
        <v>2</v>
      </c>
      <c r="R12">
        <v>1</v>
      </c>
      <c r="S12">
        <v>3</v>
      </c>
      <c r="T12" s="27">
        <f t="shared" si="2"/>
        <v>2</v>
      </c>
      <c r="U12" s="8">
        <f t="shared" si="3"/>
        <v>2.75</v>
      </c>
      <c r="W12" s="28">
        <v>7</v>
      </c>
      <c r="X12">
        <v>6</v>
      </c>
      <c r="Y12">
        <v>2</v>
      </c>
      <c r="Z12">
        <v>2</v>
      </c>
      <c r="AA12">
        <v>6</v>
      </c>
      <c r="AB12">
        <v>6</v>
      </c>
      <c r="AC12" s="27">
        <f t="shared" si="4"/>
        <v>5</v>
      </c>
      <c r="AD12">
        <v>5</v>
      </c>
      <c r="AE12">
        <v>3</v>
      </c>
      <c r="AF12">
        <v>5</v>
      </c>
      <c r="AG12">
        <v>3</v>
      </c>
      <c r="AH12" s="27">
        <f t="shared" si="5"/>
        <v>3.25</v>
      </c>
      <c r="AI12">
        <v>6</v>
      </c>
      <c r="AJ12">
        <v>6</v>
      </c>
      <c r="AK12">
        <v>6</v>
      </c>
      <c r="AL12">
        <v>2</v>
      </c>
      <c r="AM12" s="27">
        <f t="shared" si="6"/>
        <v>3.75</v>
      </c>
      <c r="AN12" s="8">
        <f t="shared" si="7"/>
        <v>4.28571428571429</v>
      </c>
      <c r="AP12" s="7">
        <v>3</v>
      </c>
      <c r="AQ12">
        <v>5</v>
      </c>
      <c r="AR12">
        <v>6</v>
      </c>
      <c r="AS12">
        <v>5</v>
      </c>
      <c r="AT12" s="27">
        <f t="shared" si="8"/>
        <v>4.75</v>
      </c>
      <c r="AU12">
        <v>6</v>
      </c>
      <c r="AV12">
        <v>6</v>
      </c>
      <c r="AW12">
        <v>7</v>
      </c>
      <c r="AX12">
        <v>7</v>
      </c>
      <c r="AY12" s="27">
        <f t="shared" si="9"/>
        <v>6.5</v>
      </c>
      <c r="AZ12" s="8">
        <f t="shared" si="10"/>
        <v>5.625</v>
      </c>
      <c r="BB12" s="7">
        <v>5</v>
      </c>
      <c r="BC12">
        <v>4</v>
      </c>
      <c r="BD12">
        <v>2</v>
      </c>
      <c r="BE12">
        <v>4</v>
      </c>
      <c r="BF12" s="27">
        <f t="shared" si="11"/>
        <v>4.5</v>
      </c>
      <c r="BG12">
        <v>7</v>
      </c>
      <c r="BH12">
        <v>7</v>
      </c>
      <c r="BI12">
        <v>2</v>
      </c>
      <c r="BJ12" s="27">
        <f t="shared" si="12"/>
        <v>6.33333333333333</v>
      </c>
      <c r="BK12" s="8">
        <f t="shared" si="13"/>
        <v>5.28571428571429</v>
      </c>
      <c r="BM12" s="7">
        <v>5</v>
      </c>
      <c r="BN12">
        <v>5</v>
      </c>
      <c r="BO12" s="8">
        <f t="shared" si="14"/>
        <v>10</v>
      </c>
      <c r="BP12" s="7">
        <v>5</v>
      </c>
      <c r="BQ12">
        <v>5</v>
      </c>
      <c r="BR12" s="8">
        <f t="shared" si="15"/>
        <v>10</v>
      </c>
      <c r="BS12">
        <f t="shared" si="16"/>
        <v>0</v>
      </c>
      <c r="BU12" s="2">
        <v>2</v>
      </c>
      <c r="BV12" s="2">
        <v>4</v>
      </c>
      <c r="BW12" s="2">
        <v>3</v>
      </c>
      <c r="BX12" s="2">
        <v>2</v>
      </c>
      <c r="BY12" s="2">
        <v>18</v>
      </c>
      <c r="BZ12" s="2">
        <v>2</v>
      </c>
      <c r="CA12" s="2">
        <v>0</v>
      </c>
      <c r="CB12" s="2">
        <v>1</v>
      </c>
      <c r="CC12" s="2">
        <v>1</v>
      </c>
      <c r="CD12" s="2">
        <v>0</v>
      </c>
      <c r="CE12" s="2">
        <v>0</v>
      </c>
      <c r="CF12" s="2">
        <v>1</v>
      </c>
      <c r="CG12" s="2">
        <v>2</v>
      </c>
      <c r="CH12" s="2">
        <v>2</v>
      </c>
      <c r="CJ12" s="2">
        <v>348.4981</v>
      </c>
    </row>
    <row r="13" s="25" customFormat="1" ht="14.5" spans="1:88">
      <c r="A13" s="25" t="s">
        <v>100</v>
      </c>
      <c r="B13" s="25">
        <v>16</v>
      </c>
      <c r="C13" s="25" t="s">
        <v>91</v>
      </c>
      <c r="D13" s="25" t="s">
        <v>84</v>
      </c>
      <c r="E13" s="25" t="s">
        <v>85</v>
      </c>
      <c r="F13" s="25" t="s">
        <v>86</v>
      </c>
      <c r="G13" s="25" t="s">
        <v>86</v>
      </c>
      <c r="H13" s="25" t="s">
        <v>86</v>
      </c>
      <c r="J13" s="34">
        <v>4</v>
      </c>
      <c r="K13" s="25">
        <v>3</v>
      </c>
      <c r="L13" s="27">
        <f t="shared" si="0"/>
        <v>3.5</v>
      </c>
      <c r="M13" s="25">
        <v>7</v>
      </c>
      <c r="N13" s="25">
        <v>7</v>
      </c>
      <c r="O13" s="25">
        <v>7</v>
      </c>
      <c r="P13" s="27">
        <f t="shared" si="1"/>
        <v>7</v>
      </c>
      <c r="Q13" s="25">
        <v>3</v>
      </c>
      <c r="R13" s="25">
        <v>2</v>
      </c>
      <c r="S13" s="25">
        <v>2</v>
      </c>
      <c r="T13" s="27">
        <f t="shared" si="2"/>
        <v>2.33333333333333</v>
      </c>
      <c r="U13" s="35">
        <f t="shared" si="3"/>
        <v>4.375</v>
      </c>
      <c r="W13" s="28">
        <v>7</v>
      </c>
      <c r="X13" s="25">
        <v>7</v>
      </c>
      <c r="Y13" s="25">
        <v>7</v>
      </c>
      <c r="Z13" s="25">
        <v>4</v>
      </c>
      <c r="AA13" s="25">
        <v>7</v>
      </c>
      <c r="AB13" s="25">
        <v>7</v>
      </c>
      <c r="AC13" s="27">
        <f t="shared" si="4"/>
        <v>5</v>
      </c>
      <c r="AD13" s="25">
        <v>7</v>
      </c>
      <c r="AE13" s="25">
        <v>4</v>
      </c>
      <c r="AF13" s="25">
        <v>7</v>
      </c>
      <c r="AG13" s="25">
        <v>4</v>
      </c>
      <c r="AH13" s="27">
        <f t="shared" si="5"/>
        <v>3.75</v>
      </c>
      <c r="AI13" s="25">
        <v>2</v>
      </c>
      <c r="AJ13" s="25">
        <v>4</v>
      </c>
      <c r="AK13" s="25">
        <v>4</v>
      </c>
      <c r="AL13" s="25">
        <v>4</v>
      </c>
      <c r="AM13" s="27">
        <f t="shared" si="6"/>
        <v>4.25</v>
      </c>
      <c r="AN13" s="35">
        <f t="shared" si="7"/>
        <v>4.57142857142857</v>
      </c>
      <c r="AP13" s="34">
        <v>4</v>
      </c>
      <c r="AQ13" s="25">
        <v>4</v>
      </c>
      <c r="AR13" s="25">
        <v>4</v>
      </c>
      <c r="AS13" s="25">
        <v>4</v>
      </c>
      <c r="AT13" s="27">
        <f t="shared" si="8"/>
        <v>4</v>
      </c>
      <c r="AU13" s="25">
        <v>4</v>
      </c>
      <c r="AV13" s="25">
        <v>4</v>
      </c>
      <c r="AW13" s="25">
        <v>4</v>
      </c>
      <c r="AX13" s="25">
        <v>4</v>
      </c>
      <c r="AY13" s="27">
        <f t="shared" si="9"/>
        <v>4</v>
      </c>
      <c r="AZ13" s="35">
        <f t="shared" si="10"/>
        <v>4</v>
      </c>
      <c r="BB13" s="34">
        <v>4</v>
      </c>
      <c r="BC13" s="25">
        <v>4</v>
      </c>
      <c r="BD13" s="25">
        <v>4</v>
      </c>
      <c r="BE13" s="25">
        <v>4</v>
      </c>
      <c r="BF13" s="27">
        <f t="shared" si="11"/>
        <v>3.75</v>
      </c>
      <c r="BG13" s="25">
        <v>4</v>
      </c>
      <c r="BH13" s="25">
        <v>4</v>
      </c>
      <c r="BI13" s="25">
        <v>4</v>
      </c>
      <c r="BJ13" s="27">
        <f t="shared" si="12"/>
        <v>3.66666666666667</v>
      </c>
      <c r="BK13" s="35">
        <f t="shared" si="13"/>
        <v>3.71428571428571</v>
      </c>
      <c r="BM13" s="34">
        <v>5</v>
      </c>
      <c r="BN13" s="25">
        <v>5</v>
      </c>
      <c r="BO13" s="35">
        <f t="shared" si="14"/>
        <v>10</v>
      </c>
      <c r="BP13" s="34">
        <v>5</v>
      </c>
      <c r="BQ13" s="25">
        <v>5</v>
      </c>
      <c r="BR13" s="35">
        <f t="shared" si="15"/>
        <v>10</v>
      </c>
      <c r="BS13" s="25">
        <f t="shared" si="16"/>
        <v>0</v>
      </c>
      <c r="BU13" s="37">
        <v>1</v>
      </c>
      <c r="BV13" s="37">
        <v>2</v>
      </c>
      <c r="BW13" s="37">
        <v>3</v>
      </c>
      <c r="BX13" s="37">
        <v>0</v>
      </c>
      <c r="BY13" s="37">
        <v>15</v>
      </c>
      <c r="BZ13" s="37">
        <v>1</v>
      </c>
      <c r="CA13" s="37">
        <v>0</v>
      </c>
      <c r="CB13" s="37">
        <v>1</v>
      </c>
      <c r="CC13" s="37">
        <v>1</v>
      </c>
      <c r="CD13" s="37">
        <v>0</v>
      </c>
      <c r="CE13" s="37">
        <v>0</v>
      </c>
      <c r="CF13" s="37">
        <v>1</v>
      </c>
      <c r="CG13" s="37">
        <v>1</v>
      </c>
      <c r="CH13" s="37">
        <v>0</v>
      </c>
      <c r="CI13" s="25"/>
      <c r="CJ13" s="37">
        <v>281.251</v>
      </c>
    </row>
    <row r="14" ht="14.5" spans="1:88">
      <c r="A14" t="s">
        <v>101</v>
      </c>
      <c r="B14">
        <v>16</v>
      </c>
      <c r="C14" t="s">
        <v>91</v>
      </c>
      <c r="D14" t="s">
        <v>84</v>
      </c>
      <c r="E14" t="s">
        <v>85</v>
      </c>
      <c r="F14" t="s">
        <v>86</v>
      </c>
      <c r="G14" t="s">
        <v>87</v>
      </c>
      <c r="H14" t="s">
        <v>86</v>
      </c>
      <c r="J14" s="7">
        <v>3</v>
      </c>
      <c r="K14">
        <v>1</v>
      </c>
      <c r="L14" s="27">
        <f t="shared" si="0"/>
        <v>2</v>
      </c>
      <c r="M14">
        <v>7</v>
      </c>
      <c r="N14">
        <v>7</v>
      </c>
      <c r="O14">
        <v>7</v>
      </c>
      <c r="P14" s="27">
        <f t="shared" si="1"/>
        <v>7</v>
      </c>
      <c r="Q14">
        <v>1</v>
      </c>
      <c r="R14">
        <v>1</v>
      </c>
      <c r="S14">
        <v>1</v>
      </c>
      <c r="T14" s="27">
        <f t="shared" si="2"/>
        <v>1</v>
      </c>
      <c r="U14" s="8">
        <f t="shared" si="3"/>
        <v>3.5</v>
      </c>
      <c r="W14" s="28">
        <v>7</v>
      </c>
      <c r="X14">
        <v>7</v>
      </c>
      <c r="Y14">
        <v>2</v>
      </c>
      <c r="Z14">
        <v>1</v>
      </c>
      <c r="AA14">
        <v>7</v>
      </c>
      <c r="AB14">
        <v>7</v>
      </c>
      <c r="AC14" s="27">
        <f t="shared" si="4"/>
        <v>5.4</v>
      </c>
      <c r="AD14">
        <v>1</v>
      </c>
      <c r="AE14">
        <v>7</v>
      </c>
      <c r="AF14">
        <v>1</v>
      </c>
      <c r="AG14">
        <v>7</v>
      </c>
      <c r="AH14" s="27">
        <f t="shared" si="5"/>
        <v>5.25</v>
      </c>
      <c r="AI14">
        <v>1</v>
      </c>
      <c r="AJ14">
        <v>7</v>
      </c>
      <c r="AK14">
        <v>7</v>
      </c>
      <c r="AL14">
        <v>7</v>
      </c>
      <c r="AM14" s="27">
        <f t="shared" si="6"/>
        <v>6.75</v>
      </c>
      <c r="AN14" s="8">
        <f t="shared" si="7"/>
        <v>5.85714285714286</v>
      </c>
      <c r="AP14" s="7">
        <v>7</v>
      </c>
      <c r="AQ14">
        <v>7</v>
      </c>
      <c r="AR14">
        <v>7</v>
      </c>
      <c r="AS14">
        <v>7</v>
      </c>
      <c r="AT14" s="27">
        <f t="shared" si="8"/>
        <v>7</v>
      </c>
      <c r="AU14">
        <v>7</v>
      </c>
      <c r="AV14">
        <v>7</v>
      </c>
      <c r="AW14">
        <v>7</v>
      </c>
      <c r="AX14">
        <v>7</v>
      </c>
      <c r="AY14" s="27">
        <f t="shared" si="9"/>
        <v>7</v>
      </c>
      <c r="AZ14" s="8">
        <f t="shared" si="10"/>
        <v>7</v>
      </c>
      <c r="BB14" s="7">
        <v>7</v>
      </c>
      <c r="BC14">
        <v>7</v>
      </c>
      <c r="BD14">
        <v>2</v>
      </c>
      <c r="BE14">
        <v>7</v>
      </c>
      <c r="BF14" s="27">
        <f t="shared" si="11"/>
        <v>6.5</v>
      </c>
      <c r="BG14">
        <v>7</v>
      </c>
      <c r="BH14">
        <v>7</v>
      </c>
      <c r="BI14">
        <v>1</v>
      </c>
      <c r="BJ14" s="27">
        <f t="shared" si="12"/>
        <v>6.66666666666667</v>
      </c>
      <c r="BK14" s="8">
        <f t="shared" si="13"/>
        <v>6.57142857142857</v>
      </c>
      <c r="BM14" s="7">
        <v>4</v>
      </c>
      <c r="BN14">
        <v>5</v>
      </c>
      <c r="BO14" s="8">
        <f t="shared" si="14"/>
        <v>9</v>
      </c>
      <c r="BP14" s="7">
        <v>4</v>
      </c>
      <c r="BQ14">
        <v>5</v>
      </c>
      <c r="BR14" s="8">
        <f t="shared" si="15"/>
        <v>9</v>
      </c>
      <c r="BS14">
        <f t="shared" si="16"/>
        <v>0</v>
      </c>
      <c r="BU14" s="2">
        <v>2</v>
      </c>
      <c r="BV14" s="2">
        <v>2</v>
      </c>
      <c r="BW14" s="2">
        <v>2</v>
      </c>
      <c r="BX14" s="2">
        <v>2</v>
      </c>
      <c r="BY14" s="2">
        <v>18</v>
      </c>
      <c r="BZ14" s="2">
        <v>2</v>
      </c>
      <c r="CA14" s="2">
        <v>0</v>
      </c>
      <c r="CB14" s="2">
        <v>1</v>
      </c>
      <c r="CC14" s="2">
        <v>2</v>
      </c>
      <c r="CD14" s="2">
        <v>1</v>
      </c>
      <c r="CE14" s="2">
        <v>0</v>
      </c>
      <c r="CF14" s="2">
        <v>1</v>
      </c>
      <c r="CG14" s="2">
        <v>2</v>
      </c>
      <c r="CH14" s="2">
        <v>2</v>
      </c>
      <c r="CJ14" s="2">
        <v>368.9272</v>
      </c>
    </row>
    <row r="15" ht="14.5" spans="1:88">
      <c r="A15" t="s">
        <v>102</v>
      </c>
      <c r="B15">
        <v>17</v>
      </c>
      <c r="C15" t="s">
        <v>91</v>
      </c>
      <c r="D15" t="s">
        <v>84</v>
      </c>
      <c r="E15" t="s">
        <v>85</v>
      </c>
      <c r="F15" t="s">
        <v>86</v>
      </c>
      <c r="G15" t="s">
        <v>87</v>
      </c>
      <c r="H15" t="s">
        <v>86</v>
      </c>
      <c r="J15" s="7">
        <v>2</v>
      </c>
      <c r="K15">
        <v>2</v>
      </c>
      <c r="L15" s="27">
        <f t="shared" si="0"/>
        <v>2</v>
      </c>
      <c r="M15">
        <v>5</v>
      </c>
      <c r="N15">
        <v>5</v>
      </c>
      <c r="O15">
        <v>5</v>
      </c>
      <c r="P15" s="27">
        <f t="shared" si="1"/>
        <v>5</v>
      </c>
      <c r="Q15">
        <v>1</v>
      </c>
      <c r="R15">
        <v>1</v>
      </c>
      <c r="S15">
        <v>1</v>
      </c>
      <c r="T15" s="27">
        <f t="shared" si="2"/>
        <v>1</v>
      </c>
      <c r="U15" s="8">
        <f t="shared" si="3"/>
        <v>2.75</v>
      </c>
      <c r="W15" s="28">
        <v>7</v>
      </c>
      <c r="X15" s="21">
        <v>7</v>
      </c>
      <c r="Y15" s="21">
        <v>3</v>
      </c>
      <c r="Z15" s="21">
        <v>7</v>
      </c>
      <c r="AA15" s="21">
        <v>3</v>
      </c>
      <c r="AB15" s="21">
        <v>7</v>
      </c>
      <c r="AC15" s="27">
        <f t="shared" si="4"/>
        <v>5.6</v>
      </c>
      <c r="AD15" s="21">
        <v>2</v>
      </c>
      <c r="AE15" s="21">
        <v>2</v>
      </c>
      <c r="AF15" s="21">
        <v>5</v>
      </c>
      <c r="AG15" s="21">
        <v>5</v>
      </c>
      <c r="AH15" s="27">
        <f t="shared" si="5"/>
        <v>2.75</v>
      </c>
      <c r="AI15" s="21">
        <v>1</v>
      </c>
      <c r="AJ15" s="21">
        <v>5</v>
      </c>
      <c r="AK15" s="21">
        <v>3</v>
      </c>
      <c r="AL15" s="21">
        <v>4</v>
      </c>
      <c r="AM15" s="27">
        <f t="shared" si="6"/>
        <v>4.5</v>
      </c>
      <c r="AN15" s="8">
        <f t="shared" si="7"/>
        <v>4.57142857142857</v>
      </c>
      <c r="AP15" s="7">
        <v>5</v>
      </c>
      <c r="AQ15" s="21">
        <v>5</v>
      </c>
      <c r="AR15" s="21">
        <v>7</v>
      </c>
      <c r="AS15" s="21">
        <v>5</v>
      </c>
      <c r="AT15" s="27">
        <f t="shared" si="8"/>
        <v>5.5</v>
      </c>
      <c r="AU15" s="21">
        <v>5</v>
      </c>
      <c r="AV15" s="21">
        <v>7</v>
      </c>
      <c r="AW15" s="21">
        <v>7</v>
      </c>
      <c r="AX15" s="21">
        <v>7</v>
      </c>
      <c r="AY15" s="27">
        <f t="shared" si="9"/>
        <v>6.5</v>
      </c>
      <c r="AZ15" s="8">
        <f t="shared" si="10"/>
        <v>6</v>
      </c>
      <c r="BB15" s="7">
        <v>5</v>
      </c>
      <c r="BC15" s="21">
        <v>7</v>
      </c>
      <c r="BD15" s="21">
        <v>2</v>
      </c>
      <c r="BE15" s="21">
        <v>5</v>
      </c>
      <c r="BF15" s="27">
        <f t="shared" si="11"/>
        <v>5.5</v>
      </c>
      <c r="BG15" s="21">
        <v>7</v>
      </c>
      <c r="BH15" s="21">
        <v>7</v>
      </c>
      <c r="BI15" s="21">
        <v>2</v>
      </c>
      <c r="BJ15" s="27">
        <f t="shared" si="12"/>
        <v>6.33333333333333</v>
      </c>
      <c r="BK15" s="8">
        <f t="shared" si="13"/>
        <v>5.85714285714286</v>
      </c>
      <c r="BM15" s="7">
        <v>4</v>
      </c>
      <c r="BN15">
        <v>4</v>
      </c>
      <c r="BO15" s="8">
        <f t="shared" si="14"/>
        <v>8</v>
      </c>
      <c r="BP15" s="7">
        <v>5</v>
      </c>
      <c r="BQ15" s="21">
        <v>5</v>
      </c>
      <c r="BR15" s="8">
        <f t="shared" si="15"/>
        <v>10</v>
      </c>
      <c r="BS15">
        <f t="shared" si="16"/>
        <v>2</v>
      </c>
      <c r="BU15" s="2">
        <v>1</v>
      </c>
      <c r="BV15" s="2">
        <v>2</v>
      </c>
      <c r="BW15" s="2">
        <v>2</v>
      </c>
      <c r="BX15" s="2">
        <v>0</v>
      </c>
      <c r="BY15" s="2">
        <v>15</v>
      </c>
      <c r="BZ15" s="2">
        <v>1</v>
      </c>
      <c r="CA15" s="2">
        <v>0</v>
      </c>
      <c r="CB15" s="2">
        <v>2</v>
      </c>
      <c r="CC15" s="2">
        <v>1</v>
      </c>
      <c r="CD15" s="2">
        <v>3</v>
      </c>
      <c r="CE15" s="2">
        <v>0</v>
      </c>
      <c r="CF15" s="2">
        <v>1</v>
      </c>
      <c r="CG15" s="2">
        <v>1</v>
      </c>
      <c r="CH15" s="2">
        <v>2</v>
      </c>
      <c r="CJ15" s="2">
        <v>318.3179</v>
      </c>
    </row>
    <row r="16" ht="14.5" spans="1:88">
      <c r="A16" t="s">
        <v>103</v>
      </c>
      <c r="B16">
        <v>16</v>
      </c>
      <c r="C16" t="s">
        <v>91</v>
      </c>
      <c r="D16" t="s">
        <v>84</v>
      </c>
      <c r="E16" t="s">
        <v>85</v>
      </c>
      <c r="F16" t="s">
        <v>86</v>
      </c>
      <c r="G16" t="s">
        <v>87</v>
      </c>
      <c r="H16" t="s">
        <v>86</v>
      </c>
      <c r="J16" s="7">
        <v>3</v>
      </c>
      <c r="K16">
        <v>3</v>
      </c>
      <c r="L16" s="27">
        <f t="shared" si="0"/>
        <v>3</v>
      </c>
      <c r="M16">
        <v>5</v>
      </c>
      <c r="N16">
        <v>5</v>
      </c>
      <c r="O16">
        <v>5</v>
      </c>
      <c r="P16" s="27">
        <f t="shared" si="1"/>
        <v>5</v>
      </c>
      <c r="Q16">
        <v>3</v>
      </c>
      <c r="R16">
        <v>3</v>
      </c>
      <c r="S16">
        <v>3</v>
      </c>
      <c r="T16" s="27">
        <f t="shared" si="2"/>
        <v>3</v>
      </c>
      <c r="U16" s="8">
        <f t="shared" si="3"/>
        <v>3.75</v>
      </c>
      <c r="W16" s="28">
        <v>6</v>
      </c>
      <c r="X16">
        <v>6</v>
      </c>
      <c r="Y16">
        <v>2</v>
      </c>
      <c r="Z16">
        <v>2</v>
      </c>
      <c r="AA16">
        <v>6</v>
      </c>
      <c r="AB16">
        <v>6</v>
      </c>
      <c r="AC16" s="27">
        <f t="shared" si="4"/>
        <v>5</v>
      </c>
      <c r="AD16">
        <v>3</v>
      </c>
      <c r="AE16">
        <v>2</v>
      </c>
      <c r="AF16">
        <v>3</v>
      </c>
      <c r="AG16">
        <v>6</v>
      </c>
      <c r="AH16" s="27">
        <f t="shared" si="5"/>
        <v>3.75</v>
      </c>
      <c r="AI16">
        <v>6</v>
      </c>
      <c r="AJ16">
        <v>6</v>
      </c>
      <c r="AK16">
        <v>6</v>
      </c>
      <c r="AL16">
        <v>4</v>
      </c>
      <c r="AM16" s="27">
        <f t="shared" si="6"/>
        <v>4.25</v>
      </c>
      <c r="AN16" s="8">
        <f t="shared" si="7"/>
        <v>4.5</v>
      </c>
      <c r="AP16" s="7">
        <v>5</v>
      </c>
      <c r="AQ16">
        <v>5</v>
      </c>
      <c r="AR16">
        <v>5</v>
      </c>
      <c r="AS16">
        <v>5</v>
      </c>
      <c r="AT16" s="27">
        <f t="shared" si="8"/>
        <v>5</v>
      </c>
      <c r="AU16">
        <v>5</v>
      </c>
      <c r="AV16">
        <v>5</v>
      </c>
      <c r="AW16">
        <v>5</v>
      </c>
      <c r="AX16">
        <v>5</v>
      </c>
      <c r="AY16" s="27">
        <f t="shared" si="9"/>
        <v>5</v>
      </c>
      <c r="AZ16" s="8">
        <f t="shared" si="10"/>
        <v>5</v>
      </c>
      <c r="BB16" s="7">
        <v>5</v>
      </c>
      <c r="BC16">
        <v>5</v>
      </c>
      <c r="BD16">
        <v>3</v>
      </c>
      <c r="BE16">
        <v>5</v>
      </c>
      <c r="BF16" s="27">
        <f t="shared" si="11"/>
        <v>4.75</v>
      </c>
      <c r="BG16">
        <v>5</v>
      </c>
      <c r="BH16">
        <v>5</v>
      </c>
      <c r="BI16">
        <v>3</v>
      </c>
      <c r="BJ16" s="27">
        <f t="shared" si="12"/>
        <v>4.66666666666667</v>
      </c>
      <c r="BK16" s="8">
        <f t="shared" si="13"/>
        <v>4.71428571428571</v>
      </c>
      <c r="BM16" s="7">
        <v>4</v>
      </c>
      <c r="BN16">
        <v>2</v>
      </c>
      <c r="BO16" s="8">
        <f t="shared" si="14"/>
        <v>6</v>
      </c>
      <c r="BP16" s="7">
        <v>1</v>
      </c>
      <c r="BQ16">
        <v>3</v>
      </c>
      <c r="BR16" s="8">
        <f t="shared" si="15"/>
        <v>4</v>
      </c>
      <c r="BS16">
        <f t="shared" si="16"/>
        <v>-2</v>
      </c>
      <c r="BU16" s="2">
        <v>2</v>
      </c>
      <c r="BV16" s="2">
        <v>2</v>
      </c>
      <c r="BW16" s="2">
        <v>2</v>
      </c>
      <c r="BX16" s="2">
        <v>0</v>
      </c>
      <c r="BY16" s="2">
        <v>16</v>
      </c>
      <c r="BZ16" s="2">
        <v>2</v>
      </c>
      <c r="CA16" s="2">
        <v>0</v>
      </c>
      <c r="CB16" s="2">
        <v>1</v>
      </c>
      <c r="CC16" s="2">
        <v>1</v>
      </c>
      <c r="CD16" s="2">
        <v>3</v>
      </c>
      <c r="CE16" s="2">
        <v>0</v>
      </c>
      <c r="CF16" s="2">
        <v>1</v>
      </c>
      <c r="CG16" s="2">
        <v>1</v>
      </c>
      <c r="CH16" s="2">
        <v>4</v>
      </c>
      <c r="CJ16" s="2">
        <v>432.8691</v>
      </c>
    </row>
    <row r="17" ht="14.5" spans="1:88">
      <c r="A17" t="s">
        <v>104</v>
      </c>
      <c r="B17">
        <v>16</v>
      </c>
      <c r="C17" t="s">
        <v>91</v>
      </c>
      <c r="D17" t="s">
        <v>84</v>
      </c>
      <c r="E17" t="s">
        <v>85</v>
      </c>
      <c r="F17" t="s">
        <v>86</v>
      </c>
      <c r="G17" t="s">
        <v>87</v>
      </c>
      <c r="H17" t="s">
        <v>86</v>
      </c>
      <c r="J17" s="7">
        <v>2</v>
      </c>
      <c r="K17">
        <v>2</v>
      </c>
      <c r="L17" s="27">
        <f t="shared" si="0"/>
        <v>2</v>
      </c>
      <c r="M17">
        <v>2</v>
      </c>
      <c r="N17">
        <v>4</v>
      </c>
      <c r="O17">
        <v>6</v>
      </c>
      <c r="P17" s="27">
        <f t="shared" si="1"/>
        <v>4</v>
      </c>
      <c r="Q17">
        <v>2</v>
      </c>
      <c r="R17">
        <v>2</v>
      </c>
      <c r="S17">
        <v>2</v>
      </c>
      <c r="T17" s="27">
        <f t="shared" si="2"/>
        <v>2</v>
      </c>
      <c r="U17" s="8">
        <f t="shared" si="3"/>
        <v>2.75</v>
      </c>
      <c r="W17" s="28">
        <v>7</v>
      </c>
      <c r="X17">
        <v>4</v>
      </c>
      <c r="Y17">
        <v>4</v>
      </c>
      <c r="Z17">
        <v>4</v>
      </c>
      <c r="AA17">
        <v>4</v>
      </c>
      <c r="AB17">
        <v>4</v>
      </c>
      <c r="AC17" s="27">
        <f t="shared" si="4"/>
        <v>3.8</v>
      </c>
      <c r="AD17">
        <v>7</v>
      </c>
      <c r="AE17">
        <v>4</v>
      </c>
      <c r="AF17">
        <v>4</v>
      </c>
      <c r="AG17">
        <v>6</v>
      </c>
      <c r="AH17" s="27">
        <f t="shared" si="5"/>
        <v>5</v>
      </c>
      <c r="AI17">
        <v>4</v>
      </c>
      <c r="AJ17">
        <v>4</v>
      </c>
      <c r="AK17">
        <v>6</v>
      </c>
      <c r="AL17">
        <v>4</v>
      </c>
      <c r="AM17" s="27">
        <f t="shared" si="6"/>
        <v>4.25</v>
      </c>
      <c r="AN17" s="8">
        <f t="shared" si="7"/>
        <v>4.5</v>
      </c>
      <c r="AP17" s="7">
        <v>4</v>
      </c>
      <c r="AQ17">
        <v>5</v>
      </c>
      <c r="AR17">
        <v>6</v>
      </c>
      <c r="AS17">
        <v>6</v>
      </c>
      <c r="AT17" s="27">
        <f t="shared" si="8"/>
        <v>5.25</v>
      </c>
      <c r="AU17">
        <v>6</v>
      </c>
      <c r="AV17">
        <v>6</v>
      </c>
      <c r="AW17">
        <v>6</v>
      </c>
      <c r="AX17">
        <v>6</v>
      </c>
      <c r="AY17" s="27">
        <f t="shared" si="9"/>
        <v>6</v>
      </c>
      <c r="AZ17" s="8">
        <f t="shared" si="10"/>
        <v>5.625</v>
      </c>
      <c r="BB17" s="7">
        <v>6</v>
      </c>
      <c r="BC17">
        <v>5</v>
      </c>
      <c r="BD17">
        <v>5</v>
      </c>
      <c r="BE17">
        <v>6</v>
      </c>
      <c r="BF17" s="27">
        <f t="shared" si="11"/>
        <v>4.75</v>
      </c>
      <c r="BG17">
        <v>7</v>
      </c>
      <c r="BH17">
        <v>7</v>
      </c>
      <c r="BI17">
        <v>2</v>
      </c>
      <c r="BJ17" s="27">
        <f t="shared" si="12"/>
        <v>6.33333333333333</v>
      </c>
      <c r="BK17" s="8">
        <f t="shared" si="13"/>
        <v>5.42857142857143</v>
      </c>
      <c r="BM17" s="7">
        <v>5</v>
      </c>
      <c r="BN17">
        <v>2</v>
      </c>
      <c r="BO17" s="8">
        <f t="shared" si="14"/>
        <v>7</v>
      </c>
      <c r="BP17" s="7">
        <v>5</v>
      </c>
      <c r="BQ17">
        <v>3</v>
      </c>
      <c r="BR17" s="8">
        <f t="shared" si="15"/>
        <v>8</v>
      </c>
      <c r="BS17">
        <f t="shared" si="16"/>
        <v>1</v>
      </c>
      <c r="BU17" s="2">
        <v>1</v>
      </c>
      <c r="BV17" s="2">
        <v>0</v>
      </c>
      <c r="BW17" s="2">
        <v>0</v>
      </c>
      <c r="BX17" s="2">
        <v>0</v>
      </c>
      <c r="BY17" s="2">
        <v>15</v>
      </c>
      <c r="BZ17" s="2">
        <v>1</v>
      </c>
      <c r="CA17" s="2">
        <v>0</v>
      </c>
      <c r="CB17" s="2">
        <v>1</v>
      </c>
      <c r="CC17" s="2">
        <v>1</v>
      </c>
      <c r="CD17" s="2">
        <v>0</v>
      </c>
      <c r="CE17" s="2">
        <v>0</v>
      </c>
      <c r="CF17" s="2">
        <v>1</v>
      </c>
      <c r="CG17" s="2">
        <v>1</v>
      </c>
      <c r="CH17" s="2">
        <v>3</v>
      </c>
      <c r="CJ17" s="2">
        <v>339.9698</v>
      </c>
    </row>
    <row r="18" s="26" customFormat="1" ht="14.5" spans="1:88">
      <c r="A18" s="26" t="s">
        <v>105</v>
      </c>
      <c r="B18" s="26">
        <v>16</v>
      </c>
      <c r="C18" s="26" t="s">
        <v>83</v>
      </c>
      <c r="D18" s="26" t="s">
        <v>89</v>
      </c>
      <c r="E18" s="26" t="s">
        <v>85</v>
      </c>
      <c r="F18" s="26" t="s">
        <v>86</v>
      </c>
      <c r="G18" s="26" t="s">
        <v>87</v>
      </c>
      <c r="H18" s="26" t="s">
        <v>86</v>
      </c>
      <c r="J18" s="41">
        <v>4</v>
      </c>
      <c r="K18" s="26">
        <v>2</v>
      </c>
      <c r="L18" s="27">
        <f t="shared" si="0"/>
        <v>3</v>
      </c>
      <c r="M18" s="26">
        <v>6</v>
      </c>
      <c r="N18" s="26">
        <v>7</v>
      </c>
      <c r="O18" s="26">
        <v>7</v>
      </c>
      <c r="P18" s="27">
        <f t="shared" si="1"/>
        <v>6.66666666666667</v>
      </c>
      <c r="Q18" s="26">
        <v>2</v>
      </c>
      <c r="R18" s="26">
        <v>1</v>
      </c>
      <c r="S18" s="26">
        <v>1</v>
      </c>
      <c r="T18" s="27">
        <f t="shared" si="2"/>
        <v>1.33333333333333</v>
      </c>
      <c r="U18" s="42">
        <f t="shared" si="3"/>
        <v>3.75</v>
      </c>
      <c r="W18" s="28">
        <v>7</v>
      </c>
      <c r="X18" s="26">
        <v>5</v>
      </c>
      <c r="Y18" s="26">
        <v>3</v>
      </c>
      <c r="Z18" s="26">
        <v>7</v>
      </c>
      <c r="AA18" s="26">
        <v>7</v>
      </c>
      <c r="AB18" s="26">
        <v>7</v>
      </c>
      <c r="AC18" s="27">
        <f t="shared" si="4"/>
        <v>6</v>
      </c>
      <c r="AD18" s="26">
        <v>1</v>
      </c>
      <c r="AE18" s="26">
        <v>1</v>
      </c>
      <c r="AF18" s="26">
        <v>7</v>
      </c>
      <c r="AG18" s="26">
        <v>3</v>
      </c>
      <c r="AH18" s="27">
        <f t="shared" si="5"/>
        <v>1.25</v>
      </c>
      <c r="AI18" s="26">
        <v>1</v>
      </c>
      <c r="AJ18" s="26">
        <v>6</v>
      </c>
      <c r="AK18" s="26">
        <v>5</v>
      </c>
      <c r="AL18" s="26">
        <v>3</v>
      </c>
      <c r="AM18" s="27">
        <f t="shared" si="6"/>
        <v>5</v>
      </c>
      <c r="AN18" s="42">
        <f t="shared" si="7"/>
        <v>4.42857142857143</v>
      </c>
      <c r="AP18" s="41">
        <v>7</v>
      </c>
      <c r="AQ18" s="26">
        <v>5</v>
      </c>
      <c r="AR18" s="26">
        <v>7</v>
      </c>
      <c r="AS18" s="26">
        <v>5</v>
      </c>
      <c r="AT18" s="27">
        <f t="shared" si="8"/>
        <v>6</v>
      </c>
      <c r="AU18" s="26">
        <v>7</v>
      </c>
      <c r="AV18" s="26">
        <v>7</v>
      </c>
      <c r="AW18" s="26">
        <v>7</v>
      </c>
      <c r="AX18" s="26">
        <v>7</v>
      </c>
      <c r="AY18" s="27">
        <f t="shared" si="9"/>
        <v>7</v>
      </c>
      <c r="AZ18" s="42">
        <f t="shared" si="10"/>
        <v>6.5</v>
      </c>
      <c r="BB18" s="41">
        <v>7</v>
      </c>
      <c r="BC18" s="54">
        <v>7</v>
      </c>
      <c r="BD18" s="26">
        <v>5</v>
      </c>
      <c r="BE18" s="26">
        <v>7</v>
      </c>
      <c r="BF18" s="27">
        <f t="shared" si="11"/>
        <v>5.75</v>
      </c>
      <c r="BG18" s="26">
        <v>7</v>
      </c>
      <c r="BH18" s="26">
        <v>7</v>
      </c>
      <c r="BI18" s="26">
        <v>1</v>
      </c>
      <c r="BJ18" s="27">
        <f t="shared" si="12"/>
        <v>6.66666666666667</v>
      </c>
      <c r="BK18" s="42">
        <f t="shared" si="13"/>
        <v>6.14285714285714</v>
      </c>
      <c r="BM18" s="41">
        <v>5</v>
      </c>
      <c r="BN18" s="26">
        <v>5</v>
      </c>
      <c r="BO18" s="42">
        <f t="shared" si="14"/>
        <v>10</v>
      </c>
      <c r="BP18" s="41">
        <v>5</v>
      </c>
      <c r="BQ18" s="26">
        <v>5</v>
      </c>
      <c r="BR18" s="42">
        <f t="shared" si="15"/>
        <v>10</v>
      </c>
      <c r="BS18" s="26">
        <f t="shared" si="16"/>
        <v>0</v>
      </c>
      <c r="BU18" s="46">
        <v>1</v>
      </c>
      <c r="BV18" s="46">
        <v>1</v>
      </c>
      <c r="BW18" s="46">
        <v>1</v>
      </c>
      <c r="BX18" s="46">
        <v>0</v>
      </c>
      <c r="BY18" s="46">
        <v>15</v>
      </c>
      <c r="BZ18" s="46">
        <v>1</v>
      </c>
      <c r="CA18" s="46">
        <v>0</v>
      </c>
      <c r="CB18" s="46">
        <v>0</v>
      </c>
      <c r="CC18" s="46">
        <v>1</v>
      </c>
      <c r="CD18" s="46">
        <v>0</v>
      </c>
      <c r="CE18" s="46">
        <v>0</v>
      </c>
      <c r="CF18" s="46">
        <v>0</v>
      </c>
      <c r="CG18" s="46">
        <v>1</v>
      </c>
      <c r="CH18" s="46">
        <v>1</v>
      </c>
      <c r="CI18" s="26"/>
      <c r="CJ18" s="46">
        <v>283.5974</v>
      </c>
    </row>
    <row r="19" s="26" customFormat="1" ht="14.5" spans="1:88">
      <c r="A19" s="26" t="s">
        <v>106</v>
      </c>
      <c r="B19" s="26">
        <v>16</v>
      </c>
      <c r="C19" s="26" t="s">
        <v>91</v>
      </c>
      <c r="D19" s="26" t="s">
        <v>89</v>
      </c>
      <c r="E19" s="26" t="s">
        <v>85</v>
      </c>
      <c r="F19" s="26" t="s">
        <v>87</v>
      </c>
      <c r="G19" s="26" t="s">
        <v>87</v>
      </c>
      <c r="H19" s="26" t="s">
        <v>86</v>
      </c>
      <c r="J19" s="41">
        <v>5</v>
      </c>
      <c r="K19" s="26">
        <v>3</v>
      </c>
      <c r="L19" s="27">
        <f t="shared" si="0"/>
        <v>4</v>
      </c>
      <c r="M19" s="26">
        <v>5</v>
      </c>
      <c r="N19" s="26">
        <v>5</v>
      </c>
      <c r="O19" s="26">
        <v>6</v>
      </c>
      <c r="P19" s="27">
        <f t="shared" si="1"/>
        <v>5.33333333333333</v>
      </c>
      <c r="Q19" s="26">
        <v>2</v>
      </c>
      <c r="R19" s="26">
        <v>2</v>
      </c>
      <c r="S19" s="26">
        <v>2</v>
      </c>
      <c r="T19" s="27">
        <f t="shared" si="2"/>
        <v>2</v>
      </c>
      <c r="U19" s="42">
        <f t="shared" si="3"/>
        <v>3.75</v>
      </c>
      <c r="W19" s="28">
        <v>6</v>
      </c>
      <c r="X19" s="26">
        <v>5</v>
      </c>
      <c r="Y19" s="26">
        <v>3</v>
      </c>
      <c r="Z19" s="26">
        <v>1</v>
      </c>
      <c r="AA19" s="26">
        <v>4</v>
      </c>
      <c r="AB19" s="26">
        <v>5</v>
      </c>
      <c r="AC19" s="27">
        <f t="shared" si="4"/>
        <v>3.8</v>
      </c>
      <c r="AD19" s="26">
        <v>3</v>
      </c>
      <c r="AE19" s="26">
        <v>2</v>
      </c>
      <c r="AF19" s="26">
        <v>3</v>
      </c>
      <c r="AG19" s="26">
        <v>3</v>
      </c>
      <c r="AH19" s="27">
        <f t="shared" si="5"/>
        <v>3</v>
      </c>
      <c r="AI19" s="26">
        <v>6</v>
      </c>
      <c r="AJ19" s="26">
        <v>5</v>
      </c>
      <c r="AK19" s="26">
        <v>5</v>
      </c>
      <c r="AL19" s="26">
        <v>2</v>
      </c>
      <c r="AM19" s="27">
        <f t="shared" si="6"/>
        <v>3.25</v>
      </c>
      <c r="AN19" s="42">
        <f t="shared" si="7"/>
        <v>3.57142857142857</v>
      </c>
      <c r="AP19" s="41">
        <v>5</v>
      </c>
      <c r="AQ19" s="26">
        <v>5</v>
      </c>
      <c r="AR19" s="26">
        <v>4</v>
      </c>
      <c r="AS19" s="26">
        <v>5</v>
      </c>
      <c r="AT19" s="27">
        <f t="shared" si="8"/>
        <v>4.75</v>
      </c>
      <c r="AU19" s="26">
        <v>6</v>
      </c>
      <c r="AV19" s="26">
        <v>6</v>
      </c>
      <c r="AW19" s="26">
        <v>6</v>
      </c>
      <c r="AX19" s="26">
        <v>6</v>
      </c>
      <c r="AY19" s="27">
        <f t="shared" si="9"/>
        <v>6</v>
      </c>
      <c r="AZ19" s="42">
        <f t="shared" si="10"/>
        <v>5.375</v>
      </c>
      <c r="BB19" s="41">
        <v>5</v>
      </c>
      <c r="BC19" s="26">
        <v>5</v>
      </c>
      <c r="BD19" s="26">
        <v>6</v>
      </c>
      <c r="BE19" s="26">
        <v>5</v>
      </c>
      <c r="BF19" s="27">
        <f t="shared" si="11"/>
        <v>4</v>
      </c>
      <c r="BG19" s="26">
        <v>5</v>
      </c>
      <c r="BH19" s="26">
        <v>5</v>
      </c>
      <c r="BI19" s="26">
        <v>1</v>
      </c>
      <c r="BJ19" s="27">
        <f t="shared" si="12"/>
        <v>5.33333333333333</v>
      </c>
      <c r="BK19" s="42">
        <f t="shared" si="13"/>
        <v>4.57142857142857</v>
      </c>
      <c r="BM19" s="41">
        <v>2</v>
      </c>
      <c r="BN19" s="26">
        <v>3</v>
      </c>
      <c r="BO19" s="42">
        <f t="shared" si="14"/>
        <v>5</v>
      </c>
      <c r="BP19" s="41">
        <v>2</v>
      </c>
      <c r="BQ19" s="26">
        <v>3</v>
      </c>
      <c r="BR19" s="42">
        <f t="shared" si="15"/>
        <v>5</v>
      </c>
      <c r="BS19" s="26">
        <f t="shared" si="16"/>
        <v>0</v>
      </c>
      <c r="BU19" s="46">
        <v>1</v>
      </c>
      <c r="BV19" s="46">
        <v>1</v>
      </c>
      <c r="BW19" s="46">
        <v>1</v>
      </c>
      <c r="BX19" s="46">
        <v>0</v>
      </c>
      <c r="BY19" s="46">
        <v>15</v>
      </c>
      <c r="BZ19" s="46">
        <v>1</v>
      </c>
      <c r="CA19" s="46">
        <v>0</v>
      </c>
      <c r="CB19" s="46">
        <v>0</v>
      </c>
      <c r="CC19" s="46">
        <v>1</v>
      </c>
      <c r="CD19" s="46">
        <v>0</v>
      </c>
      <c r="CE19" s="46">
        <v>0</v>
      </c>
      <c r="CF19" s="46">
        <v>1</v>
      </c>
      <c r="CG19" s="46">
        <v>1</v>
      </c>
      <c r="CH19" s="46">
        <v>2</v>
      </c>
      <c r="CI19" s="26"/>
      <c r="CJ19" s="46">
        <v>288.9308</v>
      </c>
    </row>
    <row r="20" s="26" customFormat="1" ht="14.5" spans="1:88">
      <c r="A20" s="26" t="s">
        <v>107</v>
      </c>
      <c r="B20" s="26">
        <v>16</v>
      </c>
      <c r="C20" s="26" t="s">
        <v>91</v>
      </c>
      <c r="D20" s="26" t="s">
        <v>89</v>
      </c>
      <c r="E20" s="26" t="s">
        <v>108</v>
      </c>
      <c r="F20" s="26" t="s">
        <v>86</v>
      </c>
      <c r="G20" s="26" t="s">
        <v>86</v>
      </c>
      <c r="H20" s="26" t="s">
        <v>86</v>
      </c>
      <c r="J20" s="41">
        <v>3</v>
      </c>
      <c r="K20" s="26">
        <v>3</v>
      </c>
      <c r="L20" s="27">
        <f t="shared" si="0"/>
        <v>3</v>
      </c>
      <c r="M20" s="26">
        <v>7</v>
      </c>
      <c r="N20" s="26">
        <v>7</v>
      </c>
      <c r="O20" s="26">
        <v>7</v>
      </c>
      <c r="P20" s="27">
        <f t="shared" si="1"/>
        <v>7</v>
      </c>
      <c r="Q20" s="26">
        <v>1</v>
      </c>
      <c r="R20" s="26">
        <v>1</v>
      </c>
      <c r="S20" s="26">
        <v>1</v>
      </c>
      <c r="T20" s="27">
        <f t="shared" si="2"/>
        <v>1</v>
      </c>
      <c r="U20" s="42">
        <f t="shared" si="3"/>
        <v>3.75</v>
      </c>
      <c r="W20" s="28">
        <v>7</v>
      </c>
      <c r="X20" s="26">
        <v>7</v>
      </c>
      <c r="Y20" s="26">
        <v>2</v>
      </c>
      <c r="Z20" s="26">
        <v>2</v>
      </c>
      <c r="AA20" s="26">
        <v>7</v>
      </c>
      <c r="AB20" s="26">
        <v>7</v>
      </c>
      <c r="AC20" s="27">
        <f t="shared" si="4"/>
        <v>5.6</v>
      </c>
      <c r="AD20" s="26">
        <v>5</v>
      </c>
      <c r="AE20" s="26">
        <v>2</v>
      </c>
      <c r="AF20" s="26">
        <v>3</v>
      </c>
      <c r="AG20" s="26">
        <v>7</v>
      </c>
      <c r="AH20" s="27">
        <f t="shared" si="5"/>
        <v>4.5</v>
      </c>
      <c r="AI20" s="26">
        <v>1</v>
      </c>
      <c r="AJ20" s="26">
        <v>4</v>
      </c>
      <c r="AK20" s="26">
        <v>5</v>
      </c>
      <c r="AL20" s="26">
        <v>1</v>
      </c>
      <c r="AM20" s="27">
        <f t="shared" si="6"/>
        <v>4</v>
      </c>
      <c r="AN20" s="42">
        <f t="shared" si="7"/>
        <v>4.92857142857143</v>
      </c>
      <c r="AP20" s="41">
        <v>3</v>
      </c>
      <c r="AQ20" s="26">
        <v>3</v>
      </c>
      <c r="AR20" s="26">
        <v>7</v>
      </c>
      <c r="AS20" s="26">
        <v>6</v>
      </c>
      <c r="AT20" s="27">
        <f t="shared" si="8"/>
        <v>4.75</v>
      </c>
      <c r="AU20" s="26">
        <v>6</v>
      </c>
      <c r="AV20" s="26">
        <v>6</v>
      </c>
      <c r="AW20" s="26">
        <v>6</v>
      </c>
      <c r="AX20" s="26">
        <v>6</v>
      </c>
      <c r="AY20" s="27">
        <f t="shared" si="9"/>
        <v>6</v>
      </c>
      <c r="AZ20" s="42">
        <f t="shared" si="10"/>
        <v>5.375</v>
      </c>
      <c r="BB20" s="41">
        <v>6</v>
      </c>
      <c r="BC20" s="26">
        <v>7</v>
      </c>
      <c r="BD20" s="26">
        <v>7</v>
      </c>
      <c r="BE20" s="26">
        <v>7</v>
      </c>
      <c r="BF20" s="27">
        <f t="shared" si="11"/>
        <v>5</v>
      </c>
      <c r="BG20" s="26">
        <v>7</v>
      </c>
      <c r="BH20" s="26">
        <v>6</v>
      </c>
      <c r="BI20" s="26">
        <v>1</v>
      </c>
      <c r="BJ20" s="27">
        <f t="shared" si="12"/>
        <v>6.33333333333333</v>
      </c>
      <c r="BK20" s="42">
        <f t="shared" si="13"/>
        <v>5.57142857142857</v>
      </c>
      <c r="BM20" s="41">
        <v>3</v>
      </c>
      <c r="BN20" s="26">
        <v>1</v>
      </c>
      <c r="BO20" s="42">
        <f t="shared" si="14"/>
        <v>4</v>
      </c>
      <c r="BP20" s="41">
        <v>5</v>
      </c>
      <c r="BQ20" s="26">
        <v>4</v>
      </c>
      <c r="BR20" s="42">
        <f t="shared" si="15"/>
        <v>9</v>
      </c>
      <c r="BS20" s="26">
        <f t="shared" si="16"/>
        <v>5</v>
      </c>
      <c r="BU20" s="46">
        <v>1</v>
      </c>
      <c r="BV20" s="46">
        <v>4</v>
      </c>
      <c r="BW20" s="46">
        <v>0</v>
      </c>
      <c r="BX20" s="46">
        <v>1</v>
      </c>
      <c r="BY20" s="46">
        <v>16</v>
      </c>
      <c r="BZ20" s="46">
        <v>1</v>
      </c>
      <c r="CA20" s="46">
        <v>1</v>
      </c>
      <c r="CB20" s="46">
        <v>1</v>
      </c>
      <c r="CC20" s="46">
        <v>3</v>
      </c>
      <c r="CD20" s="46">
        <v>3</v>
      </c>
      <c r="CE20" s="46">
        <v>1</v>
      </c>
      <c r="CF20" s="46">
        <v>1</v>
      </c>
      <c r="CG20" s="46">
        <v>3</v>
      </c>
      <c r="CH20" s="46">
        <v>3</v>
      </c>
      <c r="CI20" s="26"/>
      <c r="CJ20" s="46">
        <v>547.3746</v>
      </c>
    </row>
    <row r="21" s="26" customFormat="1" ht="14.5" spans="1:88">
      <c r="A21" s="26" t="s">
        <v>109</v>
      </c>
      <c r="B21" s="26">
        <v>16</v>
      </c>
      <c r="C21" s="26" t="s">
        <v>83</v>
      </c>
      <c r="D21" s="26" t="s">
        <v>89</v>
      </c>
      <c r="E21" s="26" t="s">
        <v>85</v>
      </c>
      <c r="F21" s="26" t="s">
        <v>86</v>
      </c>
      <c r="G21" s="26" t="s">
        <v>86</v>
      </c>
      <c r="H21" s="26" t="s">
        <v>86</v>
      </c>
      <c r="J21" s="41">
        <v>3</v>
      </c>
      <c r="K21" s="26">
        <v>3</v>
      </c>
      <c r="L21" s="27">
        <f t="shared" si="0"/>
        <v>3</v>
      </c>
      <c r="M21" s="26">
        <v>7</v>
      </c>
      <c r="N21" s="26">
        <v>7</v>
      </c>
      <c r="O21" s="26">
        <v>7</v>
      </c>
      <c r="P21" s="27">
        <f t="shared" si="1"/>
        <v>7</v>
      </c>
      <c r="Q21" s="26">
        <v>7</v>
      </c>
      <c r="R21" s="26">
        <v>1</v>
      </c>
      <c r="S21" s="26">
        <v>2</v>
      </c>
      <c r="T21" s="27">
        <f t="shared" si="2"/>
        <v>3.33333333333333</v>
      </c>
      <c r="U21" s="42">
        <f t="shared" si="3"/>
        <v>4.625</v>
      </c>
      <c r="W21" s="28">
        <v>7</v>
      </c>
      <c r="X21" s="26">
        <v>7</v>
      </c>
      <c r="Y21" s="26">
        <v>1</v>
      </c>
      <c r="Z21" s="26">
        <v>4</v>
      </c>
      <c r="AA21" s="26">
        <v>4</v>
      </c>
      <c r="AB21" s="26">
        <v>6</v>
      </c>
      <c r="AC21" s="27">
        <f t="shared" si="4"/>
        <v>5.4</v>
      </c>
      <c r="AD21" s="26">
        <v>6</v>
      </c>
      <c r="AE21" s="26">
        <v>2</v>
      </c>
      <c r="AF21" s="26">
        <v>6</v>
      </c>
      <c r="AG21" s="26">
        <v>5</v>
      </c>
      <c r="AH21" s="27">
        <f t="shared" si="5"/>
        <v>3.5</v>
      </c>
      <c r="AI21" s="26">
        <v>5</v>
      </c>
      <c r="AJ21" s="26">
        <v>4</v>
      </c>
      <c r="AK21" s="26">
        <v>5</v>
      </c>
      <c r="AL21" s="26">
        <v>3</v>
      </c>
      <c r="AM21" s="27">
        <f t="shared" si="6"/>
        <v>3.5</v>
      </c>
      <c r="AN21" s="42">
        <f t="shared" si="7"/>
        <v>4.42857142857143</v>
      </c>
      <c r="AP21" s="41">
        <v>1</v>
      </c>
      <c r="AQ21" s="26">
        <v>1</v>
      </c>
      <c r="AR21" s="26">
        <v>2</v>
      </c>
      <c r="AS21" s="26">
        <v>1</v>
      </c>
      <c r="AT21" s="27">
        <f t="shared" si="8"/>
        <v>1.25</v>
      </c>
      <c r="AU21" s="26">
        <v>7</v>
      </c>
      <c r="AV21" s="26">
        <v>7</v>
      </c>
      <c r="AW21" s="26">
        <v>7</v>
      </c>
      <c r="AX21" s="26">
        <v>7</v>
      </c>
      <c r="AY21" s="27">
        <f t="shared" si="9"/>
        <v>7</v>
      </c>
      <c r="AZ21" s="42">
        <f t="shared" si="10"/>
        <v>4.125</v>
      </c>
      <c r="BB21" s="41">
        <v>7</v>
      </c>
      <c r="BC21" s="26">
        <v>7</v>
      </c>
      <c r="BD21" s="26">
        <v>7</v>
      </c>
      <c r="BE21" s="26">
        <v>7</v>
      </c>
      <c r="BF21" s="27">
        <f t="shared" si="11"/>
        <v>5.25</v>
      </c>
      <c r="BG21" s="26">
        <v>7</v>
      </c>
      <c r="BH21" s="26">
        <v>7</v>
      </c>
      <c r="BI21" s="26">
        <v>1</v>
      </c>
      <c r="BJ21" s="27">
        <f t="shared" si="12"/>
        <v>6.66666666666667</v>
      </c>
      <c r="BK21" s="42">
        <f t="shared" si="13"/>
        <v>5.85714285714286</v>
      </c>
      <c r="BM21" s="41">
        <v>3</v>
      </c>
      <c r="BN21" s="26">
        <v>0</v>
      </c>
      <c r="BO21" s="42">
        <f t="shared" si="14"/>
        <v>3</v>
      </c>
      <c r="BP21" s="41">
        <v>5</v>
      </c>
      <c r="BQ21" s="26">
        <v>4</v>
      </c>
      <c r="BR21" s="42">
        <f t="shared" si="15"/>
        <v>9</v>
      </c>
      <c r="BS21" s="26">
        <f t="shared" si="16"/>
        <v>6</v>
      </c>
      <c r="BU21" s="46">
        <v>3</v>
      </c>
      <c r="BV21" s="46">
        <v>0</v>
      </c>
      <c r="BW21" s="46">
        <v>0</v>
      </c>
      <c r="BX21" s="46">
        <v>1</v>
      </c>
      <c r="BY21" s="46">
        <v>17</v>
      </c>
      <c r="BZ21" s="46">
        <v>1</v>
      </c>
      <c r="CA21" s="46">
        <v>0</v>
      </c>
      <c r="CB21" s="46">
        <v>0</v>
      </c>
      <c r="CC21" s="46">
        <v>2</v>
      </c>
      <c r="CD21" s="46">
        <v>0</v>
      </c>
      <c r="CE21" s="46">
        <v>0</v>
      </c>
      <c r="CF21" s="46">
        <v>0</v>
      </c>
      <c r="CG21" s="46">
        <v>1</v>
      </c>
      <c r="CH21" s="46">
        <v>1</v>
      </c>
      <c r="CI21" s="26"/>
      <c r="CJ21" s="46">
        <v>247.0024</v>
      </c>
    </row>
    <row r="22" s="26" customFormat="1" ht="14.5" spans="1:88">
      <c r="A22" s="26" t="s">
        <v>110</v>
      </c>
      <c r="B22" s="26">
        <v>17</v>
      </c>
      <c r="C22" s="26" t="s">
        <v>91</v>
      </c>
      <c r="D22" s="26" t="s">
        <v>89</v>
      </c>
      <c r="E22" s="26" t="s">
        <v>85</v>
      </c>
      <c r="F22" s="26" t="s">
        <v>87</v>
      </c>
      <c r="G22" s="26" t="s">
        <v>87</v>
      </c>
      <c r="H22" s="26" t="s">
        <v>87</v>
      </c>
      <c r="J22" s="41">
        <v>3</v>
      </c>
      <c r="K22" s="26">
        <v>2</v>
      </c>
      <c r="L22" s="27">
        <f t="shared" si="0"/>
        <v>2.5</v>
      </c>
      <c r="M22" s="26">
        <v>7</v>
      </c>
      <c r="N22" s="26">
        <v>2</v>
      </c>
      <c r="O22" s="26">
        <v>7</v>
      </c>
      <c r="P22" s="27">
        <f t="shared" si="1"/>
        <v>5.33333333333333</v>
      </c>
      <c r="Q22" s="26">
        <v>1</v>
      </c>
      <c r="R22" s="26">
        <v>1</v>
      </c>
      <c r="S22" s="26">
        <v>1</v>
      </c>
      <c r="T22" s="27">
        <f t="shared" si="2"/>
        <v>1</v>
      </c>
      <c r="U22" s="42">
        <f t="shared" si="3"/>
        <v>3</v>
      </c>
      <c r="W22" s="28">
        <v>7</v>
      </c>
      <c r="X22" s="26">
        <v>7</v>
      </c>
      <c r="Y22" s="26">
        <v>2</v>
      </c>
      <c r="Z22" s="26">
        <v>1</v>
      </c>
      <c r="AA22" s="26">
        <v>6</v>
      </c>
      <c r="AB22" s="26">
        <v>4</v>
      </c>
      <c r="AC22" s="27">
        <f t="shared" si="4"/>
        <v>4.6</v>
      </c>
      <c r="AD22" s="26">
        <v>2</v>
      </c>
      <c r="AE22" s="26">
        <v>1</v>
      </c>
      <c r="AF22" s="26">
        <v>6</v>
      </c>
      <c r="AG22" s="26">
        <v>1</v>
      </c>
      <c r="AH22" s="27">
        <f t="shared" si="5"/>
        <v>1.25</v>
      </c>
      <c r="AI22" s="26">
        <v>4</v>
      </c>
      <c r="AJ22" s="26">
        <v>4</v>
      </c>
      <c r="AK22" s="26">
        <v>4</v>
      </c>
      <c r="AL22" s="26">
        <v>1</v>
      </c>
      <c r="AM22" s="27">
        <f t="shared" si="6"/>
        <v>3</v>
      </c>
      <c r="AN22" s="42">
        <f t="shared" si="7"/>
        <v>3.35714285714286</v>
      </c>
      <c r="AP22" s="41">
        <v>4</v>
      </c>
      <c r="AQ22" s="26">
        <v>4</v>
      </c>
      <c r="AR22" s="26">
        <v>4</v>
      </c>
      <c r="AS22" s="26">
        <v>2</v>
      </c>
      <c r="AT22" s="27">
        <f t="shared" si="8"/>
        <v>3.5</v>
      </c>
      <c r="AU22" s="26">
        <v>1</v>
      </c>
      <c r="AV22" s="26">
        <v>5</v>
      </c>
      <c r="AW22" s="26">
        <v>5</v>
      </c>
      <c r="AX22" s="26">
        <v>3</v>
      </c>
      <c r="AY22" s="27">
        <f t="shared" si="9"/>
        <v>3.5</v>
      </c>
      <c r="AZ22" s="42">
        <f t="shared" si="10"/>
        <v>3.5</v>
      </c>
      <c r="BB22" s="41">
        <v>4</v>
      </c>
      <c r="BC22" s="26">
        <v>4</v>
      </c>
      <c r="BD22" s="26">
        <v>4</v>
      </c>
      <c r="BE22" s="26">
        <v>4</v>
      </c>
      <c r="BF22" s="27">
        <f t="shared" si="11"/>
        <v>3.75</v>
      </c>
      <c r="BG22" s="26">
        <v>7</v>
      </c>
      <c r="BH22" s="26">
        <v>7</v>
      </c>
      <c r="BI22" s="26">
        <v>1</v>
      </c>
      <c r="BJ22" s="27">
        <f t="shared" si="12"/>
        <v>6.66666666666667</v>
      </c>
      <c r="BK22" s="42">
        <f t="shared" si="13"/>
        <v>5</v>
      </c>
      <c r="BM22" s="41">
        <v>3</v>
      </c>
      <c r="BN22" s="26">
        <v>5</v>
      </c>
      <c r="BO22" s="42">
        <f t="shared" si="14"/>
        <v>8</v>
      </c>
      <c r="BP22" s="41">
        <v>4</v>
      </c>
      <c r="BQ22" s="26">
        <v>5</v>
      </c>
      <c r="BR22" s="42">
        <f t="shared" si="15"/>
        <v>9</v>
      </c>
      <c r="BS22" s="26">
        <f t="shared" si="16"/>
        <v>1</v>
      </c>
      <c r="BU22" s="46">
        <v>1</v>
      </c>
      <c r="BV22" s="46">
        <v>2</v>
      </c>
      <c r="BW22" s="46">
        <v>2</v>
      </c>
      <c r="BX22" s="46">
        <v>0</v>
      </c>
      <c r="BY22" s="46">
        <v>15</v>
      </c>
      <c r="BZ22" s="46">
        <v>1</v>
      </c>
      <c r="CA22" s="46">
        <v>7</v>
      </c>
      <c r="CB22" s="46">
        <v>4</v>
      </c>
      <c r="CC22" s="46">
        <v>5</v>
      </c>
      <c r="CD22" s="46">
        <v>1</v>
      </c>
      <c r="CE22" s="46">
        <v>7</v>
      </c>
      <c r="CF22" s="46">
        <v>5</v>
      </c>
      <c r="CG22" s="46">
        <v>7</v>
      </c>
      <c r="CH22" s="46">
        <v>3</v>
      </c>
      <c r="CI22" s="26"/>
      <c r="CJ22" s="46">
        <v>413.3324</v>
      </c>
    </row>
    <row r="23" s="26" customFormat="1" ht="14.5" spans="1:88">
      <c r="A23" s="26" t="s">
        <v>111</v>
      </c>
      <c r="B23" s="26">
        <v>16</v>
      </c>
      <c r="C23" s="26" t="s">
        <v>91</v>
      </c>
      <c r="D23" s="26" t="s">
        <v>89</v>
      </c>
      <c r="E23" s="26" t="s">
        <v>85</v>
      </c>
      <c r="F23" s="26" t="s">
        <v>86</v>
      </c>
      <c r="G23" s="26" t="s">
        <v>87</v>
      </c>
      <c r="H23" s="26" t="s">
        <v>86</v>
      </c>
      <c r="J23" s="41">
        <v>5</v>
      </c>
      <c r="K23" s="26">
        <v>5</v>
      </c>
      <c r="L23" s="27">
        <f t="shared" si="0"/>
        <v>5</v>
      </c>
      <c r="M23" s="26">
        <v>6</v>
      </c>
      <c r="N23" s="26">
        <v>7</v>
      </c>
      <c r="O23" s="26">
        <v>7</v>
      </c>
      <c r="P23" s="27">
        <f t="shared" si="1"/>
        <v>6.66666666666667</v>
      </c>
      <c r="Q23" s="26">
        <v>2</v>
      </c>
      <c r="R23" s="26">
        <v>1</v>
      </c>
      <c r="S23" s="26">
        <v>2</v>
      </c>
      <c r="T23" s="27">
        <f t="shared" si="2"/>
        <v>1.66666666666667</v>
      </c>
      <c r="U23" s="42">
        <f t="shared" si="3"/>
        <v>4.375</v>
      </c>
      <c r="W23" s="28">
        <v>7</v>
      </c>
      <c r="X23" s="26">
        <v>7</v>
      </c>
      <c r="Y23" s="26">
        <v>3</v>
      </c>
      <c r="Z23" s="26">
        <v>3</v>
      </c>
      <c r="AA23" s="26">
        <v>3</v>
      </c>
      <c r="AB23" s="26">
        <v>6</v>
      </c>
      <c r="AC23" s="27">
        <f t="shared" si="4"/>
        <v>4.6</v>
      </c>
      <c r="AD23" s="26">
        <v>5</v>
      </c>
      <c r="AE23" s="26">
        <v>3</v>
      </c>
      <c r="AF23" s="26">
        <v>3</v>
      </c>
      <c r="AG23" s="26">
        <v>6</v>
      </c>
      <c r="AH23" s="27">
        <f t="shared" si="5"/>
        <v>4.5</v>
      </c>
      <c r="AI23" s="26">
        <v>6</v>
      </c>
      <c r="AJ23" s="26">
        <v>6</v>
      </c>
      <c r="AK23" s="26">
        <v>6</v>
      </c>
      <c r="AL23" s="26">
        <v>3</v>
      </c>
      <c r="AM23" s="27">
        <f t="shared" si="6"/>
        <v>4</v>
      </c>
      <c r="AN23" s="42">
        <f t="shared" si="7"/>
        <v>4.57142857142857</v>
      </c>
      <c r="AP23" s="41">
        <v>6</v>
      </c>
      <c r="AQ23" s="26">
        <v>6</v>
      </c>
      <c r="AR23" s="26">
        <v>6</v>
      </c>
      <c r="AS23" s="26">
        <v>6</v>
      </c>
      <c r="AT23" s="27">
        <f t="shared" si="8"/>
        <v>6</v>
      </c>
      <c r="AU23" s="26">
        <v>4</v>
      </c>
      <c r="AV23" s="26">
        <v>5</v>
      </c>
      <c r="AW23" s="26">
        <v>5</v>
      </c>
      <c r="AX23" s="26">
        <v>4</v>
      </c>
      <c r="AY23" s="27">
        <f t="shared" si="9"/>
        <v>4.5</v>
      </c>
      <c r="AZ23" s="42">
        <f t="shared" si="10"/>
        <v>5.25</v>
      </c>
      <c r="BB23" s="41">
        <v>3</v>
      </c>
      <c r="BC23" s="26">
        <v>3</v>
      </c>
      <c r="BD23" s="26">
        <v>3</v>
      </c>
      <c r="BE23" s="26">
        <v>5</v>
      </c>
      <c r="BF23" s="27">
        <f t="shared" si="11"/>
        <v>3.75</v>
      </c>
      <c r="BG23" s="26">
        <v>6</v>
      </c>
      <c r="BH23" s="26">
        <v>6</v>
      </c>
      <c r="BI23" s="26">
        <v>2</v>
      </c>
      <c r="BJ23" s="27">
        <f t="shared" si="12"/>
        <v>5.66666666666667</v>
      </c>
      <c r="BK23" s="42">
        <f t="shared" si="13"/>
        <v>4.57142857142857</v>
      </c>
      <c r="BM23" s="41">
        <v>3</v>
      </c>
      <c r="BN23" s="26">
        <v>4</v>
      </c>
      <c r="BO23" s="42">
        <f t="shared" si="14"/>
        <v>7</v>
      </c>
      <c r="BP23" s="41">
        <v>5</v>
      </c>
      <c r="BQ23" s="26">
        <v>5</v>
      </c>
      <c r="BR23" s="42">
        <f t="shared" si="15"/>
        <v>10</v>
      </c>
      <c r="BS23" s="26">
        <f t="shared" si="16"/>
        <v>3</v>
      </c>
      <c r="BU23" s="46">
        <v>1</v>
      </c>
      <c r="BV23" s="46">
        <v>2</v>
      </c>
      <c r="BW23" s="46">
        <v>2</v>
      </c>
      <c r="BX23" s="46">
        <v>0</v>
      </c>
      <c r="BY23" s="46">
        <v>15</v>
      </c>
      <c r="BZ23" s="46">
        <v>1</v>
      </c>
      <c r="CA23" s="46">
        <v>2</v>
      </c>
      <c r="CB23" s="46">
        <v>2</v>
      </c>
      <c r="CC23" s="46">
        <v>2</v>
      </c>
      <c r="CD23" s="46">
        <v>2</v>
      </c>
      <c r="CE23" s="46">
        <v>1</v>
      </c>
      <c r="CF23" s="46">
        <v>5</v>
      </c>
      <c r="CG23" s="46">
        <v>1</v>
      </c>
      <c r="CH23" s="46">
        <v>5</v>
      </c>
      <c r="CI23" s="26"/>
      <c r="CJ23" s="46">
        <v>404.6809</v>
      </c>
    </row>
    <row r="24" s="26" customFormat="1" ht="14.5" spans="1:88">
      <c r="A24" s="26" t="s">
        <v>112</v>
      </c>
      <c r="B24" s="26">
        <v>16</v>
      </c>
      <c r="C24" s="26" t="s">
        <v>91</v>
      </c>
      <c r="D24" s="26" t="s">
        <v>89</v>
      </c>
      <c r="E24" s="26" t="s">
        <v>85</v>
      </c>
      <c r="F24" s="26" t="s">
        <v>86</v>
      </c>
      <c r="G24" s="26" t="s">
        <v>86</v>
      </c>
      <c r="H24" s="26" t="s">
        <v>86</v>
      </c>
      <c r="J24" s="41">
        <v>5</v>
      </c>
      <c r="K24" s="26">
        <v>4</v>
      </c>
      <c r="L24" s="27">
        <f t="shared" si="0"/>
        <v>4.5</v>
      </c>
      <c r="M24" s="26">
        <v>6</v>
      </c>
      <c r="N24" s="26">
        <v>5</v>
      </c>
      <c r="O24" s="26">
        <v>7</v>
      </c>
      <c r="P24" s="27">
        <f t="shared" si="1"/>
        <v>6</v>
      </c>
      <c r="Q24" s="26">
        <v>2</v>
      </c>
      <c r="R24" s="26">
        <v>2</v>
      </c>
      <c r="S24" s="26">
        <v>2</v>
      </c>
      <c r="T24" s="27">
        <f t="shared" si="2"/>
        <v>2</v>
      </c>
      <c r="U24" s="42">
        <f t="shared" si="3"/>
        <v>4.125</v>
      </c>
      <c r="W24" s="28">
        <v>7</v>
      </c>
      <c r="X24" s="26">
        <v>7</v>
      </c>
      <c r="Y24" s="26">
        <v>2</v>
      </c>
      <c r="Z24" s="26">
        <v>2</v>
      </c>
      <c r="AA24" s="26">
        <v>6</v>
      </c>
      <c r="AB24" s="26">
        <v>6</v>
      </c>
      <c r="AC24" s="27">
        <f t="shared" si="4"/>
        <v>5.2</v>
      </c>
      <c r="AD24" s="26">
        <v>5</v>
      </c>
      <c r="AE24" s="26">
        <v>7</v>
      </c>
      <c r="AF24" s="26">
        <v>2</v>
      </c>
      <c r="AG24" s="26">
        <v>7</v>
      </c>
      <c r="AH24" s="27">
        <f t="shared" si="5"/>
        <v>6</v>
      </c>
      <c r="AI24" s="26">
        <v>1</v>
      </c>
      <c r="AJ24" s="26">
        <v>6</v>
      </c>
      <c r="AK24" s="26">
        <v>5</v>
      </c>
      <c r="AL24" s="26">
        <v>2</v>
      </c>
      <c r="AM24" s="27">
        <f t="shared" si="6"/>
        <v>4.75</v>
      </c>
      <c r="AN24" s="42">
        <f t="shared" si="7"/>
        <v>5.42857142857143</v>
      </c>
      <c r="AP24" s="41">
        <v>6</v>
      </c>
      <c r="AQ24" s="26">
        <v>6</v>
      </c>
      <c r="AR24" s="26">
        <v>6</v>
      </c>
      <c r="AS24" s="26">
        <v>4</v>
      </c>
      <c r="AT24" s="27">
        <f t="shared" si="8"/>
        <v>5.5</v>
      </c>
      <c r="AU24" s="26">
        <v>6</v>
      </c>
      <c r="AV24" s="26">
        <v>6</v>
      </c>
      <c r="AW24" s="26">
        <v>6</v>
      </c>
      <c r="AX24" s="26">
        <v>6</v>
      </c>
      <c r="AY24" s="27">
        <f t="shared" si="9"/>
        <v>6</v>
      </c>
      <c r="AZ24" s="42">
        <f t="shared" si="10"/>
        <v>5.75</v>
      </c>
      <c r="BB24" s="41">
        <v>6</v>
      </c>
      <c r="BC24" s="26">
        <v>6</v>
      </c>
      <c r="BD24" s="26">
        <v>6</v>
      </c>
      <c r="BE24" s="26">
        <v>6</v>
      </c>
      <c r="BF24" s="27">
        <f t="shared" si="11"/>
        <v>4.75</v>
      </c>
      <c r="BG24" s="26">
        <v>6</v>
      </c>
      <c r="BH24" s="26">
        <v>5</v>
      </c>
      <c r="BI24" s="26">
        <v>2</v>
      </c>
      <c r="BJ24" s="27">
        <f t="shared" si="12"/>
        <v>5.33333333333333</v>
      </c>
      <c r="BK24" s="42">
        <f t="shared" si="13"/>
        <v>5</v>
      </c>
      <c r="BM24" s="41">
        <v>4</v>
      </c>
      <c r="BN24" s="26">
        <v>3</v>
      </c>
      <c r="BO24" s="42">
        <f t="shared" si="14"/>
        <v>7</v>
      </c>
      <c r="BP24" s="41">
        <v>4</v>
      </c>
      <c r="BQ24" s="26">
        <v>4</v>
      </c>
      <c r="BR24" s="42">
        <f t="shared" si="15"/>
        <v>8</v>
      </c>
      <c r="BS24" s="26">
        <f t="shared" si="16"/>
        <v>1</v>
      </c>
      <c r="BU24" s="46">
        <v>1</v>
      </c>
      <c r="BV24" s="46">
        <v>1</v>
      </c>
      <c r="BW24" s="46">
        <v>1</v>
      </c>
      <c r="BX24" s="46">
        <v>0</v>
      </c>
      <c r="BY24" s="46">
        <v>15</v>
      </c>
      <c r="BZ24" s="46">
        <v>1</v>
      </c>
      <c r="CA24" s="46">
        <v>1</v>
      </c>
      <c r="CB24" s="46">
        <v>1</v>
      </c>
      <c r="CC24" s="46">
        <v>1</v>
      </c>
      <c r="CD24" s="46">
        <v>4</v>
      </c>
      <c r="CE24" s="46">
        <v>1</v>
      </c>
      <c r="CF24" s="46">
        <v>0</v>
      </c>
      <c r="CG24" s="46">
        <v>2</v>
      </c>
      <c r="CH24" s="46">
        <v>1</v>
      </c>
      <c r="CI24" s="26"/>
      <c r="CJ24" s="46">
        <v>346.6169</v>
      </c>
    </row>
    <row r="25" s="26" customFormat="1" ht="14.5" spans="1:88">
      <c r="A25" s="26" t="s">
        <v>113</v>
      </c>
      <c r="B25" s="26">
        <v>16</v>
      </c>
      <c r="C25" s="26" t="s">
        <v>91</v>
      </c>
      <c r="D25" s="26" t="s">
        <v>89</v>
      </c>
      <c r="E25" s="26" t="s">
        <v>85</v>
      </c>
      <c r="F25" s="26" t="s">
        <v>86</v>
      </c>
      <c r="G25" s="26" t="s">
        <v>87</v>
      </c>
      <c r="H25" s="26" t="s">
        <v>86</v>
      </c>
      <c r="J25" s="41">
        <v>5</v>
      </c>
      <c r="K25" s="26">
        <v>3</v>
      </c>
      <c r="L25" s="27">
        <f t="shared" si="0"/>
        <v>4</v>
      </c>
      <c r="M25" s="26">
        <v>5</v>
      </c>
      <c r="N25" s="26">
        <v>5</v>
      </c>
      <c r="O25" s="26">
        <v>5</v>
      </c>
      <c r="P25" s="27">
        <f t="shared" si="1"/>
        <v>5</v>
      </c>
      <c r="Q25" s="26">
        <v>3</v>
      </c>
      <c r="R25" s="26">
        <v>2</v>
      </c>
      <c r="S25" s="26">
        <v>2</v>
      </c>
      <c r="T25" s="27">
        <f t="shared" si="2"/>
        <v>2.33333333333333</v>
      </c>
      <c r="U25" s="42">
        <f t="shared" si="3"/>
        <v>3.75</v>
      </c>
      <c r="W25" s="28">
        <v>1</v>
      </c>
      <c r="X25" s="26">
        <v>2</v>
      </c>
      <c r="Y25" s="26">
        <v>2</v>
      </c>
      <c r="Z25" s="26">
        <v>6</v>
      </c>
      <c r="AA25" s="26">
        <v>1</v>
      </c>
      <c r="AB25" s="26">
        <v>1</v>
      </c>
      <c r="AC25" s="27">
        <f t="shared" si="4"/>
        <v>3</v>
      </c>
      <c r="AD25" s="26">
        <v>3</v>
      </c>
      <c r="AE25" s="26">
        <v>2</v>
      </c>
      <c r="AF25" s="26">
        <v>5</v>
      </c>
      <c r="AG25" s="26">
        <v>1</v>
      </c>
      <c r="AH25" s="27">
        <f t="shared" si="5"/>
        <v>2</v>
      </c>
      <c r="AI25" s="26">
        <v>7</v>
      </c>
      <c r="AJ25" s="26">
        <v>1</v>
      </c>
      <c r="AK25" s="26">
        <v>1</v>
      </c>
      <c r="AL25" s="26">
        <v>1</v>
      </c>
      <c r="AM25" s="27">
        <f t="shared" si="6"/>
        <v>0.75</v>
      </c>
      <c r="AN25" s="42">
        <f t="shared" si="7"/>
        <v>1.92857142857143</v>
      </c>
      <c r="AP25" s="41">
        <v>2</v>
      </c>
      <c r="AQ25" s="26">
        <v>4</v>
      </c>
      <c r="AR25" s="26">
        <v>3</v>
      </c>
      <c r="AS25" s="26">
        <v>2</v>
      </c>
      <c r="AT25" s="27">
        <f t="shared" si="8"/>
        <v>2.75</v>
      </c>
      <c r="AU25" s="26">
        <v>2</v>
      </c>
      <c r="AV25" s="26">
        <v>2</v>
      </c>
      <c r="AW25" s="26">
        <v>2</v>
      </c>
      <c r="AX25" s="26">
        <v>5</v>
      </c>
      <c r="AY25" s="27">
        <f t="shared" si="9"/>
        <v>2.75</v>
      </c>
      <c r="AZ25" s="42">
        <f t="shared" si="10"/>
        <v>2.75</v>
      </c>
      <c r="BB25" s="41">
        <v>2</v>
      </c>
      <c r="BC25" s="26">
        <v>2</v>
      </c>
      <c r="BD25" s="26">
        <v>7</v>
      </c>
      <c r="BE25" s="26">
        <v>1</v>
      </c>
      <c r="BF25" s="27">
        <f t="shared" si="11"/>
        <v>1.25</v>
      </c>
      <c r="BG25" s="26">
        <v>5</v>
      </c>
      <c r="BH25" s="26">
        <v>4</v>
      </c>
      <c r="BI25" s="26">
        <v>5</v>
      </c>
      <c r="BJ25" s="27">
        <f t="shared" si="12"/>
        <v>3.66666666666667</v>
      </c>
      <c r="BK25" s="42">
        <f t="shared" si="13"/>
        <v>2.28571428571429</v>
      </c>
      <c r="BM25" s="41">
        <v>5</v>
      </c>
      <c r="BN25" s="26">
        <v>3</v>
      </c>
      <c r="BO25" s="42">
        <f t="shared" si="14"/>
        <v>8</v>
      </c>
      <c r="BP25" s="41">
        <v>5</v>
      </c>
      <c r="BQ25" s="26">
        <v>2</v>
      </c>
      <c r="BR25" s="42">
        <f t="shared" si="15"/>
        <v>7</v>
      </c>
      <c r="BS25" s="26">
        <f t="shared" si="16"/>
        <v>-1</v>
      </c>
      <c r="BU25" s="46">
        <v>1</v>
      </c>
      <c r="BV25" s="46">
        <v>0</v>
      </c>
      <c r="BW25" s="46">
        <v>0</v>
      </c>
      <c r="BX25" s="46">
        <v>1</v>
      </c>
      <c r="BY25" s="46">
        <v>16</v>
      </c>
      <c r="BZ25" s="46">
        <v>1</v>
      </c>
      <c r="CA25" s="46">
        <v>0</v>
      </c>
      <c r="CB25" s="46">
        <v>0</v>
      </c>
      <c r="CC25" s="46">
        <v>1</v>
      </c>
      <c r="CD25" s="46">
        <v>3</v>
      </c>
      <c r="CE25" s="46">
        <v>0</v>
      </c>
      <c r="CF25" s="46">
        <v>1</v>
      </c>
      <c r="CG25" s="46">
        <v>2</v>
      </c>
      <c r="CH25" s="46">
        <v>1</v>
      </c>
      <c r="CI25" s="26"/>
      <c r="CJ25" s="46">
        <v>154.5255</v>
      </c>
    </row>
    <row r="26" s="26" customFormat="1" ht="14.5" spans="1:88">
      <c r="A26" s="26" t="s">
        <v>114</v>
      </c>
      <c r="B26" s="26">
        <v>17</v>
      </c>
      <c r="C26" s="26" t="s">
        <v>83</v>
      </c>
      <c r="D26" s="26" t="s">
        <v>89</v>
      </c>
      <c r="E26" s="26" t="s">
        <v>85</v>
      </c>
      <c r="F26" s="26" t="s">
        <v>86</v>
      </c>
      <c r="G26" s="26" t="s">
        <v>87</v>
      </c>
      <c r="H26" s="26" t="s">
        <v>86</v>
      </c>
      <c r="J26" s="41">
        <v>6</v>
      </c>
      <c r="K26" s="26">
        <v>4</v>
      </c>
      <c r="L26" s="27">
        <f t="shared" si="0"/>
        <v>5</v>
      </c>
      <c r="M26" s="26">
        <v>4</v>
      </c>
      <c r="N26" s="26">
        <v>6</v>
      </c>
      <c r="O26" s="26">
        <v>5</v>
      </c>
      <c r="P26" s="27">
        <f t="shared" si="1"/>
        <v>5</v>
      </c>
      <c r="Q26" s="26">
        <v>7</v>
      </c>
      <c r="R26" s="26">
        <v>7</v>
      </c>
      <c r="S26" s="26">
        <v>7</v>
      </c>
      <c r="T26" s="27">
        <f t="shared" si="2"/>
        <v>7</v>
      </c>
      <c r="U26" s="42">
        <f t="shared" si="3"/>
        <v>5.75</v>
      </c>
      <c r="W26" s="28">
        <v>7</v>
      </c>
      <c r="X26" s="26">
        <v>7</v>
      </c>
      <c r="Y26" s="26">
        <v>6</v>
      </c>
      <c r="Z26" s="26">
        <v>5</v>
      </c>
      <c r="AA26" s="26">
        <v>6</v>
      </c>
      <c r="AB26" s="26">
        <v>7</v>
      </c>
      <c r="AC26" s="27">
        <f t="shared" si="4"/>
        <v>5.2</v>
      </c>
      <c r="AD26" s="26">
        <v>3</v>
      </c>
      <c r="AE26" s="26">
        <v>6</v>
      </c>
      <c r="AF26" s="26">
        <v>6</v>
      </c>
      <c r="AG26" s="26">
        <v>7</v>
      </c>
      <c r="AH26" s="27">
        <f t="shared" si="5"/>
        <v>4.25</v>
      </c>
      <c r="AI26" s="26">
        <v>4</v>
      </c>
      <c r="AJ26" s="26">
        <v>3</v>
      </c>
      <c r="AK26" s="26">
        <v>4</v>
      </c>
      <c r="AL26" s="26">
        <v>4</v>
      </c>
      <c r="AM26" s="27">
        <f t="shared" si="6"/>
        <v>3.5</v>
      </c>
      <c r="AN26" s="42">
        <f t="shared" si="7"/>
        <v>4.57142857142857</v>
      </c>
      <c r="AP26" s="41">
        <v>7</v>
      </c>
      <c r="AQ26" s="26">
        <v>3</v>
      </c>
      <c r="AR26" s="26">
        <v>6</v>
      </c>
      <c r="AS26" s="26">
        <v>5</v>
      </c>
      <c r="AT26" s="27">
        <f t="shared" si="8"/>
        <v>5.25</v>
      </c>
      <c r="AU26" s="26">
        <v>7</v>
      </c>
      <c r="AV26" s="26">
        <v>6</v>
      </c>
      <c r="AW26" s="26">
        <v>7</v>
      </c>
      <c r="AX26" s="26">
        <v>7</v>
      </c>
      <c r="AY26" s="27">
        <f t="shared" si="9"/>
        <v>6.75</v>
      </c>
      <c r="AZ26" s="42">
        <f t="shared" si="10"/>
        <v>6</v>
      </c>
      <c r="BB26" s="41">
        <v>7</v>
      </c>
      <c r="BC26" s="26">
        <v>6</v>
      </c>
      <c r="BD26" s="26">
        <v>6</v>
      </c>
      <c r="BE26" s="26">
        <v>7</v>
      </c>
      <c r="BF26" s="27">
        <f t="shared" si="11"/>
        <v>5.25</v>
      </c>
      <c r="BG26" s="26">
        <v>4</v>
      </c>
      <c r="BH26" s="26">
        <v>5</v>
      </c>
      <c r="BI26" s="26">
        <v>6</v>
      </c>
      <c r="BJ26" s="27">
        <f t="shared" si="12"/>
        <v>3.33333333333333</v>
      </c>
      <c r="BK26" s="42">
        <f t="shared" si="13"/>
        <v>4.42857142857143</v>
      </c>
      <c r="BM26" s="41">
        <v>3</v>
      </c>
      <c r="BN26" s="26">
        <v>2</v>
      </c>
      <c r="BO26" s="42">
        <f t="shared" si="14"/>
        <v>5</v>
      </c>
      <c r="BP26" s="41">
        <v>1</v>
      </c>
      <c r="BQ26" s="26">
        <v>1</v>
      </c>
      <c r="BR26" s="42">
        <f t="shared" si="15"/>
        <v>2</v>
      </c>
      <c r="BS26" s="26">
        <f t="shared" si="16"/>
        <v>-3</v>
      </c>
      <c r="BU26" s="46">
        <v>1</v>
      </c>
      <c r="BV26" s="46">
        <v>0</v>
      </c>
      <c r="BW26" s="46">
        <v>0</v>
      </c>
      <c r="BX26" s="46">
        <v>1</v>
      </c>
      <c r="BY26" s="46">
        <v>16</v>
      </c>
      <c r="BZ26" s="46">
        <v>3</v>
      </c>
      <c r="CA26" s="46">
        <v>1</v>
      </c>
      <c r="CB26" s="46">
        <v>4</v>
      </c>
      <c r="CC26" s="46">
        <v>5</v>
      </c>
      <c r="CD26" s="46">
        <v>2</v>
      </c>
      <c r="CE26" s="46">
        <v>0</v>
      </c>
      <c r="CF26" s="46">
        <v>4</v>
      </c>
      <c r="CG26" s="46">
        <v>5</v>
      </c>
      <c r="CH26" s="46">
        <v>2</v>
      </c>
      <c r="CI26" s="26"/>
      <c r="CJ26" s="46">
        <v>603.2568</v>
      </c>
    </row>
    <row r="27" s="26" customFormat="1" ht="14.5" spans="1:88">
      <c r="A27" s="26" t="s">
        <v>115</v>
      </c>
      <c r="B27" s="26">
        <v>16</v>
      </c>
      <c r="C27" s="26" t="s">
        <v>83</v>
      </c>
      <c r="D27" s="26" t="s">
        <v>89</v>
      </c>
      <c r="E27" s="26" t="s">
        <v>85</v>
      </c>
      <c r="F27" s="26" t="s">
        <v>87</v>
      </c>
      <c r="G27" s="26" t="s">
        <v>87</v>
      </c>
      <c r="H27" s="26" t="s">
        <v>86</v>
      </c>
      <c r="J27" s="41">
        <v>4</v>
      </c>
      <c r="K27" s="26">
        <v>3</v>
      </c>
      <c r="L27" s="27">
        <f t="shared" si="0"/>
        <v>3.5</v>
      </c>
      <c r="M27" s="26">
        <v>5</v>
      </c>
      <c r="N27" s="26">
        <v>7</v>
      </c>
      <c r="O27" s="26">
        <v>7</v>
      </c>
      <c r="P27" s="27">
        <f t="shared" si="1"/>
        <v>6.33333333333333</v>
      </c>
      <c r="Q27" s="26">
        <v>2</v>
      </c>
      <c r="R27" s="26">
        <v>2</v>
      </c>
      <c r="S27" s="26">
        <v>2</v>
      </c>
      <c r="T27" s="27">
        <f t="shared" si="2"/>
        <v>2</v>
      </c>
      <c r="U27" s="42">
        <f t="shared" si="3"/>
        <v>4</v>
      </c>
      <c r="W27" s="28">
        <v>7</v>
      </c>
      <c r="X27" s="26">
        <v>7</v>
      </c>
      <c r="Y27" s="26">
        <v>2</v>
      </c>
      <c r="Z27" s="26">
        <v>2</v>
      </c>
      <c r="AA27" s="26">
        <v>6</v>
      </c>
      <c r="AB27" s="26">
        <v>7</v>
      </c>
      <c r="AC27" s="27">
        <f t="shared" si="4"/>
        <v>5.4</v>
      </c>
      <c r="AD27" s="26">
        <v>6</v>
      </c>
      <c r="AE27" s="26">
        <v>6</v>
      </c>
      <c r="AF27" s="26">
        <v>5</v>
      </c>
      <c r="AG27" s="26">
        <v>5</v>
      </c>
      <c r="AH27" s="27">
        <f t="shared" si="5"/>
        <v>4.75</v>
      </c>
      <c r="AI27" s="26">
        <v>6</v>
      </c>
      <c r="AJ27" s="26">
        <v>5</v>
      </c>
      <c r="AK27" s="26">
        <v>3</v>
      </c>
      <c r="AL27" s="26">
        <v>2</v>
      </c>
      <c r="AM27" s="27">
        <f t="shared" si="6"/>
        <v>2.75</v>
      </c>
      <c r="AN27" s="42">
        <f t="shared" si="7"/>
        <v>4.57142857142857</v>
      </c>
      <c r="AP27" s="41">
        <v>1</v>
      </c>
      <c r="AQ27" s="26">
        <v>4</v>
      </c>
      <c r="AR27" s="26">
        <v>4</v>
      </c>
      <c r="AS27" s="26">
        <v>4</v>
      </c>
      <c r="AT27" s="27">
        <f t="shared" si="8"/>
        <v>3.25</v>
      </c>
      <c r="AU27" s="26">
        <v>2</v>
      </c>
      <c r="AV27" s="50">
        <v>4</v>
      </c>
      <c r="AW27" s="50">
        <v>4</v>
      </c>
      <c r="AX27" s="50">
        <v>4</v>
      </c>
      <c r="AY27" s="27">
        <f t="shared" si="9"/>
        <v>3.5</v>
      </c>
      <c r="AZ27" s="42">
        <f t="shared" si="10"/>
        <v>3.375</v>
      </c>
      <c r="BB27" s="51">
        <v>4</v>
      </c>
      <c r="BC27" s="50">
        <v>4</v>
      </c>
      <c r="BD27" s="50">
        <v>4</v>
      </c>
      <c r="BE27" s="50">
        <v>4</v>
      </c>
      <c r="BF27" s="27">
        <f t="shared" si="11"/>
        <v>3.75</v>
      </c>
      <c r="BG27" s="50">
        <v>4</v>
      </c>
      <c r="BH27" s="50">
        <v>4</v>
      </c>
      <c r="BI27" s="50">
        <v>4</v>
      </c>
      <c r="BJ27" s="27">
        <f t="shared" si="12"/>
        <v>3.66666666666667</v>
      </c>
      <c r="BK27" s="42">
        <f t="shared" si="13"/>
        <v>3.71428571428571</v>
      </c>
      <c r="BM27" s="41">
        <v>3</v>
      </c>
      <c r="BN27" s="26">
        <v>1</v>
      </c>
      <c r="BO27" s="42">
        <f t="shared" si="14"/>
        <v>4</v>
      </c>
      <c r="BP27" s="41">
        <v>3</v>
      </c>
      <c r="BQ27" s="26">
        <v>1</v>
      </c>
      <c r="BR27" s="42">
        <f t="shared" si="15"/>
        <v>4</v>
      </c>
      <c r="BS27" s="26">
        <f t="shared" si="16"/>
        <v>0</v>
      </c>
      <c r="BU27" s="46">
        <v>1</v>
      </c>
      <c r="BV27" s="46">
        <v>4</v>
      </c>
      <c r="BW27" s="46">
        <v>5</v>
      </c>
      <c r="BX27" s="46">
        <v>0</v>
      </c>
      <c r="BY27" s="46">
        <v>15</v>
      </c>
      <c r="BZ27" s="46">
        <v>3</v>
      </c>
      <c r="CA27" s="46">
        <v>0</v>
      </c>
      <c r="CB27" s="46">
        <v>2</v>
      </c>
      <c r="CC27" s="46">
        <v>2</v>
      </c>
      <c r="CD27" s="46">
        <v>2</v>
      </c>
      <c r="CE27" s="46">
        <v>0</v>
      </c>
      <c r="CF27" s="46">
        <v>2</v>
      </c>
      <c r="CG27" s="46">
        <v>3</v>
      </c>
      <c r="CH27" s="46">
        <v>2</v>
      </c>
      <c r="CJ27" s="46">
        <v>515.7109</v>
      </c>
    </row>
    <row r="28" s="26" customFormat="1" ht="14.5" spans="1:88">
      <c r="A28" s="26" t="s">
        <v>116</v>
      </c>
      <c r="B28" s="26">
        <v>16</v>
      </c>
      <c r="C28" s="26" t="s">
        <v>91</v>
      </c>
      <c r="D28" s="26" t="s">
        <v>89</v>
      </c>
      <c r="E28" s="26" t="s">
        <v>85</v>
      </c>
      <c r="F28" s="26" t="s">
        <v>86</v>
      </c>
      <c r="G28" s="26" t="s">
        <v>87</v>
      </c>
      <c r="H28" s="26" t="s">
        <v>86</v>
      </c>
      <c r="J28" s="41">
        <v>4</v>
      </c>
      <c r="K28" s="26">
        <v>2</v>
      </c>
      <c r="L28" s="27">
        <f t="shared" si="0"/>
        <v>3</v>
      </c>
      <c r="M28" s="26">
        <v>7</v>
      </c>
      <c r="N28" s="26">
        <v>7</v>
      </c>
      <c r="O28" s="26">
        <v>7</v>
      </c>
      <c r="P28" s="27">
        <f t="shared" si="1"/>
        <v>7</v>
      </c>
      <c r="Q28" s="26">
        <v>1</v>
      </c>
      <c r="R28" s="26">
        <v>1</v>
      </c>
      <c r="S28" s="26">
        <v>1</v>
      </c>
      <c r="T28" s="27">
        <f t="shared" si="2"/>
        <v>1</v>
      </c>
      <c r="U28" s="42">
        <f t="shared" si="3"/>
        <v>3.75</v>
      </c>
      <c r="W28" s="28">
        <v>7</v>
      </c>
      <c r="X28" s="26">
        <v>7</v>
      </c>
      <c r="Y28" s="26">
        <v>4</v>
      </c>
      <c r="Z28" s="26">
        <v>6</v>
      </c>
      <c r="AA28" s="26">
        <v>6</v>
      </c>
      <c r="AB28" s="26">
        <v>6</v>
      </c>
      <c r="AC28" s="27">
        <f t="shared" si="4"/>
        <v>5.6</v>
      </c>
      <c r="AD28" s="26">
        <v>6</v>
      </c>
      <c r="AE28" s="26">
        <v>1</v>
      </c>
      <c r="AF28" s="26">
        <v>5</v>
      </c>
      <c r="AG28" s="26">
        <v>5</v>
      </c>
      <c r="AH28" s="27">
        <f t="shared" si="5"/>
        <v>3.5</v>
      </c>
      <c r="AI28" s="26">
        <v>6</v>
      </c>
      <c r="AJ28" s="26">
        <v>5</v>
      </c>
      <c r="AK28" s="26">
        <v>4</v>
      </c>
      <c r="AL28" s="26">
        <v>1</v>
      </c>
      <c r="AM28" s="27">
        <f t="shared" si="6"/>
        <v>2.75</v>
      </c>
      <c r="AN28" s="42">
        <f t="shared" si="7"/>
        <v>4.28571428571429</v>
      </c>
      <c r="AP28" s="41">
        <v>5</v>
      </c>
      <c r="AQ28" s="26">
        <v>1</v>
      </c>
      <c r="AR28" s="26">
        <v>4</v>
      </c>
      <c r="AS28" s="26">
        <v>3</v>
      </c>
      <c r="AT28" s="27">
        <f t="shared" si="8"/>
        <v>3.25</v>
      </c>
      <c r="AU28" s="26">
        <v>6</v>
      </c>
      <c r="AV28" s="26">
        <v>6</v>
      </c>
      <c r="AW28" s="26">
        <v>7</v>
      </c>
      <c r="AX28" s="26">
        <v>6</v>
      </c>
      <c r="AY28" s="27">
        <f t="shared" si="9"/>
        <v>6.25</v>
      </c>
      <c r="AZ28" s="42">
        <f t="shared" si="10"/>
        <v>4.75</v>
      </c>
      <c r="BB28" s="41">
        <v>6</v>
      </c>
      <c r="BC28" s="26">
        <v>5</v>
      </c>
      <c r="BD28" s="26">
        <v>2</v>
      </c>
      <c r="BE28" s="26">
        <v>2</v>
      </c>
      <c r="BF28" s="27">
        <f t="shared" si="11"/>
        <v>4.5</v>
      </c>
      <c r="BG28" s="26">
        <v>6</v>
      </c>
      <c r="BH28" s="26">
        <v>6</v>
      </c>
      <c r="BI28" s="26">
        <v>1</v>
      </c>
      <c r="BJ28" s="27">
        <f t="shared" si="12"/>
        <v>6</v>
      </c>
      <c r="BK28" s="42">
        <f t="shared" si="13"/>
        <v>5.14285714285714</v>
      </c>
      <c r="BM28" s="41">
        <v>2</v>
      </c>
      <c r="BN28" s="26">
        <v>5</v>
      </c>
      <c r="BO28" s="42">
        <f t="shared" si="14"/>
        <v>7</v>
      </c>
      <c r="BP28" s="41">
        <v>5</v>
      </c>
      <c r="BQ28" s="26">
        <v>5</v>
      </c>
      <c r="BR28" s="42">
        <f t="shared" si="15"/>
        <v>10</v>
      </c>
      <c r="BS28" s="26">
        <f t="shared" si="16"/>
        <v>3</v>
      </c>
      <c r="BU28" s="46">
        <v>1</v>
      </c>
      <c r="BV28" s="46">
        <v>1</v>
      </c>
      <c r="BW28" s="46">
        <v>1</v>
      </c>
      <c r="BX28" s="46">
        <v>0</v>
      </c>
      <c r="BY28" s="46">
        <v>15</v>
      </c>
      <c r="BZ28" s="46">
        <v>1</v>
      </c>
      <c r="CA28" s="46">
        <v>1</v>
      </c>
      <c r="CB28" s="46">
        <v>2</v>
      </c>
      <c r="CC28" s="46">
        <v>3</v>
      </c>
      <c r="CD28" s="46">
        <v>0</v>
      </c>
      <c r="CE28" s="46">
        <v>1</v>
      </c>
      <c r="CF28" s="46">
        <v>1</v>
      </c>
      <c r="CG28" s="46">
        <v>2</v>
      </c>
      <c r="CH28" s="46">
        <v>2</v>
      </c>
      <c r="CJ28" s="46">
        <v>397.4861</v>
      </c>
    </row>
    <row r="29" s="26" customFormat="1" ht="14.5" spans="1:88">
      <c r="A29" s="26" t="s">
        <v>117</v>
      </c>
      <c r="B29" s="26">
        <v>16</v>
      </c>
      <c r="C29" s="26" t="s">
        <v>91</v>
      </c>
      <c r="D29" s="26" t="s">
        <v>89</v>
      </c>
      <c r="E29" s="26" t="s">
        <v>108</v>
      </c>
      <c r="F29" s="26" t="s">
        <v>87</v>
      </c>
      <c r="G29" s="26" t="s">
        <v>87</v>
      </c>
      <c r="H29" s="26" t="s">
        <v>87</v>
      </c>
      <c r="J29" s="41">
        <v>5</v>
      </c>
      <c r="K29" s="26">
        <v>4</v>
      </c>
      <c r="L29" s="27">
        <f t="shared" si="0"/>
        <v>4.5</v>
      </c>
      <c r="M29" s="26">
        <v>7</v>
      </c>
      <c r="N29" s="26">
        <v>7</v>
      </c>
      <c r="O29" s="26">
        <v>7</v>
      </c>
      <c r="P29" s="27">
        <f t="shared" si="1"/>
        <v>7</v>
      </c>
      <c r="Q29" s="26">
        <v>1</v>
      </c>
      <c r="R29" s="26">
        <v>1</v>
      </c>
      <c r="S29" s="26">
        <v>1</v>
      </c>
      <c r="T29" s="27">
        <f t="shared" si="2"/>
        <v>1</v>
      </c>
      <c r="U29" s="42">
        <f t="shared" si="3"/>
        <v>4.125</v>
      </c>
      <c r="W29" s="28">
        <v>7</v>
      </c>
      <c r="X29" s="26">
        <v>7</v>
      </c>
      <c r="Y29" s="26">
        <v>1</v>
      </c>
      <c r="Z29" s="26">
        <v>1</v>
      </c>
      <c r="AA29" s="26">
        <v>1</v>
      </c>
      <c r="AB29" s="26">
        <v>7</v>
      </c>
      <c r="AC29" s="27">
        <f t="shared" si="4"/>
        <v>4.4</v>
      </c>
      <c r="AD29" s="26">
        <v>4</v>
      </c>
      <c r="AE29" s="26">
        <v>4</v>
      </c>
      <c r="AF29" s="26">
        <v>2</v>
      </c>
      <c r="AG29" s="26">
        <v>6</v>
      </c>
      <c r="AH29" s="27">
        <f t="shared" si="5"/>
        <v>4.75</v>
      </c>
      <c r="AI29" s="26">
        <v>1</v>
      </c>
      <c r="AJ29" s="26">
        <v>7</v>
      </c>
      <c r="AK29" s="26">
        <v>7</v>
      </c>
      <c r="AL29" s="26">
        <v>3</v>
      </c>
      <c r="AM29" s="27">
        <f t="shared" si="6"/>
        <v>5.75</v>
      </c>
      <c r="AN29" s="42">
        <f t="shared" si="7"/>
        <v>5.07142857142857</v>
      </c>
      <c r="AP29" s="41">
        <v>7</v>
      </c>
      <c r="AQ29" s="26">
        <v>7</v>
      </c>
      <c r="AR29" s="26">
        <v>7</v>
      </c>
      <c r="AS29" s="26">
        <v>7</v>
      </c>
      <c r="AT29" s="27">
        <f t="shared" si="8"/>
        <v>7</v>
      </c>
      <c r="AU29" s="26">
        <v>7</v>
      </c>
      <c r="AV29" s="26">
        <v>7</v>
      </c>
      <c r="AW29" s="26">
        <v>7</v>
      </c>
      <c r="AX29" s="26">
        <v>7</v>
      </c>
      <c r="AY29" s="27">
        <f t="shared" si="9"/>
        <v>7</v>
      </c>
      <c r="AZ29" s="42">
        <f t="shared" si="10"/>
        <v>7</v>
      </c>
      <c r="BB29" s="41">
        <v>7</v>
      </c>
      <c r="BC29" s="26">
        <v>7</v>
      </c>
      <c r="BD29" s="26">
        <v>1</v>
      </c>
      <c r="BE29" s="26">
        <v>7</v>
      </c>
      <c r="BF29" s="27">
        <f t="shared" si="11"/>
        <v>6.75</v>
      </c>
      <c r="BG29" s="26">
        <v>7</v>
      </c>
      <c r="BH29" s="26">
        <v>7</v>
      </c>
      <c r="BI29" s="26">
        <v>1</v>
      </c>
      <c r="BJ29" s="27">
        <f t="shared" si="12"/>
        <v>6.66666666666667</v>
      </c>
      <c r="BK29" s="42">
        <f t="shared" si="13"/>
        <v>6.71428571428571</v>
      </c>
      <c r="BM29" s="41">
        <v>5</v>
      </c>
      <c r="BN29" s="26">
        <v>5</v>
      </c>
      <c r="BO29" s="42">
        <f t="shared" si="14"/>
        <v>10</v>
      </c>
      <c r="BP29" s="41">
        <v>5</v>
      </c>
      <c r="BQ29" s="26">
        <v>5</v>
      </c>
      <c r="BR29" s="42">
        <f t="shared" si="15"/>
        <v>10</v>
      </c>
      <c r="BS29" s="26">
        <f t="shared" si="16"/>
        <v>0</v>
      </c>
      <c r="BU29" s="46">
        <v>1</v>
      </c>
      <c r="BV29" s="46">
        <v>1</v>
      </c>
      <c r="BW29" s="46">
        <v>1</v>
      </c>
      <c r="BX29" s="46">
        <v>1</v>
      </c>
      <c r="BY29" s="46">
        <v>16</v>
      </c>
      <c r="BZ29" s="46">
        <v>1</v>
      </c>
      <c r="CA29" s="46">
        <v>1</v>
      </c>
      <c r="CB29" s="46">
        <v>3</v>
      </c>
      <c r="CC29" s="46">
        <v>3</v>
      </c>
      <c r="CD29" s="46">
        <v>2</v>
      </c>
      <c r="CE29" s="46">
        <v>0</v>
      </c>
      <c r="CF29" s="46">
        <v>1</v>
      </c>
      <c r="CG29" s="46">
        <v>2</v>
      </c>
      <c r="CH29" s="46">
        <v>2</v>
      </c>
      <c r="CJ29" s="46">
        <v>310.4404</v>
      </c>
    </row>
    <row r="30" s="26" customFormat="1" ht="14.5" spans="1:88">
      <c r="A30" s="26" t="s">
        <v>118</v>
      </c>
      <c r="B30" s="26">
        <v>16</v>
      </c>
      <c r="C30" s="26" t="s">
        <v>83</v>
      </c>
      <c r="D30" s="26" t="s">
        <v>89</v>
      </c>
      <c r="E30" s="26" t="s">
        <v>85</v>
      </c>
      <c r="F30" s="26" t="s">
        <v>86</v>
      </c>
      <c r="G30" s="26" t="s">
        <v>87</v>
      </c>
      <c r="H30" s="26" t="s">
        <v>86</v>
      </c>
      <c r="J30" s="41">
        <v>3</v>
      </c>
      <c r="K30" s="26">
        <v>2</v>
      </c>
      <c r="L30" s="27">
        <f t="shared" si="0"/>
        <v>2.5</v>
      </c>
      <c r="M30" s="26">
        <v>6</v>
      </c>
      <c r="N30" s="26">
        <v>6</v>
      </c>
      <c r="O30" s="26">
        <v>7</v>
      </c>
      <c r="P30" s="27">
        <f t="shared" si="1"/>
        <v>6.33333333333333</v>
      </c>
      <c r="Q30" s="26">
        <v>2</v>
      </c>
      <c r="R30" s="26">
        <v>1</v>
      </c>
      <c r="S30" s="26">
        <v>1</v>
      </c>
      <c r="T30" s="27">
        <f t="shared" si="2"/>
        <v>1.33333333333333</v>
      </c>
      <c r="U30" s="42">
        <f t="shared" si="3"/>
        <v>3.5</v>
      </c>
      <c r="W30" s="28">
        <v>6</v>
      </c>
      <c r="X30" s="26">
        <v>6</v>
      </c>
      <c r="Y30" s="26">
        <v>3</v>
      </c>
      <c r="Z30" s="26">
        <v>6</v>
      </c>
      <c r="AA30" s="26">
        <v>5</v>
      </c>
      <c r="AB30" s="26">
        <v>3</v>
      </c>
      <c r="AC30" s="27">
        <f t="shared" si="4"/>
        <v>4.8</v>
      </c>
      <c r="AD30" s="26">
        <v>5</v>
      </c>
      <c r="AE30" s="26">
        <v>7</v>
      </c>
      <c r="AF30" s="26">
        <v>5</v>
      </c>
      <c r="AG30" s="26">
        <v>3</v>
      </c>
      <c r="AH30" s="27">
        <f t="shared" si="5"/>
        <v>4.25</v>
      </c>
      <c r="AI30" s="26">
        <v>2</v>
      </c>
      <c r="AJ30" s="26">
        <v>6</v>
      </c>
      <c r="AK30" s="26">
        <v>2</v>
      </c>
      <c r="AL30" s="26">
        <v>1</v>
      </c>
      <c r="AM30" s="27">
        <f t="shared" si="6"/>
        <v>3.5</v>
      </c>
      <c r="AN30" s="42">
        <f t="shared" si="7"/>
        <v>4.35714285714286</v>
      </c>
      <c r="AP30" s="41">
        <v>3</v>
      </c>
      <c r="AQ30" s="26">
        <v>5</v>
      </c>
      <c r="AR30" s="26">
        <v>2</v>
      </c>
      <c r="AS30" s="26">
        <v>5</v>
      </c>
      <c r="AT30" s="27">
        <f t="shared" si="8"/>
        <v>3.75</v>
      </c>
      <c r="AU30" s="26">
        <v>3</v>
      </c>
      <c r="AV30" s="26">
        <v>7</v>
      </c>
      <c r="AW30" s="26">
        <v>7</v>
      </c>
      <c r="AX30" s="26">
        <v>5</v>
      </c>
      <c r="AY30" s="27">
        <f t="shared" si="9"/>
        <v>5.5</v>
      </c>
      <c r="AZ30" s="42">
        <f t="shared" si="10"/>
        <v>4.625</v>
      </c>
      <c r="BB30" s="41">
        <v>6</v>
      </c>
      <c r="BC30" s="26">
        <v>3</v>
      </c>
      <c r="BD30" s="26">
        <v>5</v>
      </c>
      <c r="BE30" s="26">
        <v>3</v>
      </c>
      <c r="BF30" s="27">
        <f t="shared" si="11"/>
        <v>3.5</v>
      </c>
      <c r="BG30" s="26">
        <v>7</v>
      </c>
      <c r="BH30" s="26">
        <v>7</v>
      </c>
      <c r="BI30" s="26">
        <v>2</v>
      </c>
      <c r="BJ30" s="27">
        <f t="shared" si="12"/>
        <v>6.33333333333333</v>
      </c>
      <c r="BK30" s="42">
        <f t="shared" si="13"/>
        <v>4.71428571428571</v>
      </c>
      <c r="BM30" s="41">
        <v>5</v>
      </c>
      <c r="BN30" s="26">
        <v>5</v>
      </c>
      <c r="BO30" s="42">
        <f t="shared" si="14"/>
        <v>10</v>
      </c>
      <c r="BP30" s="41">
        <v>5</v>
      </c>
      <c r="BQ30" s="26">
        <v>5</v>
      </c>
      <c r="BR30" s="42">
        <f t="shared" si="15"/>
        <v>10</v>
      </c>
      <c r="BS30" s="26">
        <f t="shared" si="16"/>
        <v>0</v>
      </c>
      <c r="BU30" s="46">
        <v>1</v>
      </c>
      <c r="BV30" s="46">
        <v>4</v>
      </c>
      <c r="BW30" s="46">
        <v>2</v>
      </c>
      <c r="BX30" s="46">
        <v>0</v>
      </c>
      <c r="BY30" s="46">
        <v>15</v>
      </c>
      <c r="BZ30" s="46">
        <v>3</v>
      </c>
      <c r="CA30" s="46">
        <v>1</v>
      </c>
      <c r="CB30" s="46">
        <v>1</v>
      </c>
      <c r="CC30" s="46">
        <v>5</v>
      </c>
      <c r="CD30" s="46">
        <v>3</v>
      </c>
      <c r="CE30" s="46">
        <v>1</v>
      </c>
      <c r="CF30" s="46">
        <v>3</v>
      </c>
      <c r="CG30" s="46">
        <v>3</v>
      </c>
      <c r="CH30" s="46">
        <v>4</v>
      </c>
      <c r="CI30" s="46">
        <v>29</v>
      </c>
      <c r="CJ30" s="46">
        <v>368.3992</v>
      </c>
    </row>
    <row r="31" s="26" customFormat="1" ht="14.5" spans="1:88">
      <c r="A31" s="26" t="s">
        <v>119</v>
      </c>
      <c r="B31" s="26">
        <v>16</v>
      </c>
      <c r="C31" s="26" t="s">
        <v>83</v>
      </c>
      <c r="D31" s="26" t="s">
        <v>89</v>
      </c>
      <c r="E31" s="26" t="s">
        <v>85</v>
      </c>
      <c r="F31" s="26" t="s">
        <v>86</v>
      </c>
      <c r="G31" s="26" t="s">
        <v>86</v>
      </c>
      <c r="H31" s="26" t="s">
        <v>86</v>
      </c>
      <c r="J31" s="41">
        <v>3</v>
      </c>
      <c r="K31" s="26">
        <v>3</v>
      </c>
      <c r="L31" s="27">
        <f t="shared" si="0"/>
        <v>3</v>
      </c>
      <c r="M31" s="26">
        <v>6</v>
      </c>
      <c r="N31" s="26">
        <v>7</v>
      </c>
      <c r="O31" s="26">
        <v>7</v>
      </c>
      <c r="P31" s="27">
        <f t="shared" si="1"/>
        <v>6.66666666666667</v>
      </c>
      <c r="Q31" s="26">
        <v>1</v>
      </c>
      <c r="R31" s="26">
        <v>1</v>
      </c>
      <c r="S31" s="26">
        <v>1</v>
      </c>
      <c r="T31" s="27">
        <f t="shared" si="2"/>
        <v>1</v>
      </c>
      <c r="U31" s="42">
        <f t="shared" si="3"/>
        <v>3.625</v>
      </c>
      <c r="W31" s="28">
        <v>7</v>
      </c>
      <c r="X31" s="26">
        <v>7</v>
      </c>
      <c r="Y31" s="26">
        <v>4</v>
      </c>
      <c r="Z31" s="26">
        <v>5</v>
      </c>
      <c r="AA31" s="26">
        <v>6</v>
      </c>
      <c r="AB31" s="26">
        <v>7</v>
      </c>
      <c r="AC31" s="27">
        <f t="shared" si="4"/>
        <v>5.6</v>
      </c>
      <c r="AD31" s="26">
        <v>3</v>
      </c>
      <c r="AE31" s="26">
        <v>4</v>
      </c>
      <c r="AF31" s="26">
        <v>4</v>
      </c>
      <c r="AG31" s="26">
        <v>5</v>
      </c>
      <c r="AH31" s="27">
        <f t="shared" si="5"/>
        <v>3.75</v>
      </c>
      <c r="AI31" s="26">
        <v>2</v>
      </c>
      <c r="AJ31" s="26">
        <v>6</v>
      </c>
      <c r="AK31" s="26">
        <v>2</v>
      </c>
      <c r="AL31" s="26">
        <v>4</v>
      </c>
      <c r="AM31" s="27">
        <f t="shared" si="6"/>
        <v>4.25</v>
      </c>
      <c r="AN31" s="42">
        <f t="shared" si="7"/>
        <v>4.78571428571429</v>
      </c>
      <c r="AP31" s="41">
        <v>5</v>
      </c>
      <c r="AQ31" s="26">
        <v>5</v>
      </c>
      <c r="AR31" s="26">
        <v>5</v>
      </c>
      <c r="AS31" s="26">
        <v>5</v>
      </c>
      <c r="AT31" s="27">
        <f t="shared" si="8"/>
        <v>5</v>
      </c>
      <c r="AU31" s="26">
        <v>5</v>
      </c>
      <c r="AV31" s="26">
        <v>5</v>
      </c>
      <c r="AW31" s="26">
        <v>6</v>
      </c>
      <c r="AX31" s="26">
        <v>6</v>
      </c>
      <c r="AY31" s="27">
        <f t="shared" si="9"/>
        <v>5.5</v>
      </c>
      <c r="AZ31" s="42">
        <f t="shared" si="10"/>
        <v>5.25</v>
      </c>
      <c r="BB31" s="41">
        <v>7</v>
      </c>
      <c r="BC31" s="26">
        <v>7</v>
      </c>
      <c r="BD31" s="26">
        <v>4</v>
      </c>
      <c r="BE31" s="26">
        <v>7</v>
      </c>
      <c r="BF31" s="27">
        <f t="shared" si="11"/>
        <v>6</v>
      </c>
      <c r="BG31" s="26">
        <v>7</v>
      </c>
      <c r="BH31" s="26">
        <v>7</v>
      </c>
      <c r="BI31" s="26">
        <v>4</v>
      </c>
      <c r="BJ31" s="27">
        <f t="shared" si="12"/>
        <v>5.66666666666667</v>
      </c>
      <c r="BK31" s="42">
        <f t="shared" si="13"/>
        <v>5.85714285714286</v>
      </c>
      <c r="BM31" s="41">
        <v>2</v>
      </c>
      <c r="BN31" s="26">
        <v>3</v>
      </c>
      <c r="BO31" s="42">
        <f t="shared" si="14"/>
        <v>5</v>
      </c>
      <c r="BP31" s="41">
        <v>5</v>
      </c>
      <c r="BQ31" s="26">
        <v>5</v>
      </c>
      <c r="BR31" s="42">
        <f t="shared" si="15"/>
        <v>10</v>
      </c>
      <c r="BS31" s="26">
        <f t="shared" si="16"/>
        <v>5</v>
      </c>
      <c r="BU31" s="46">
        <v>2</v>
      </c>
      <c r="BV31" s="46">
        <v>1</v>
      </c>
      <c r="BW31" s="46">
        <v>1</v>
      </c>
      <c r="BX31" s="46">
        <v>0</v>
      </c>
      <c r="BY31" s="46">
        <v>15</v>
      </c>
      <c r="BZ31" s="46">
        <v>1</v>
      </c>
      <c r="CA31" s="46">
        <v>0</v>
      </c>
      <c r="CB31" s="46">
        <v>1</v>
      </c>
      <c r="CC31" s="46">
        <v>1</v>
      </c>
      <c r="CD31" s="46">
        <v>0</v>
      </c>
      <c r="CE31" s="46">
        <v>0</v>
      </c>
      <c r="CF31" s="46">
        <v>2</v>
      </c>
      <c r="CG31" s="46">
        <v>1</v>
      </c>
      <c r="CH31" s="46">
        <v>1</v>
      </c>
      <c r="CI31" s="46">
        <v>21</v>
      </c>
      <c r="CJ31" s="46">
        <v>244.5433</v>
      </c>
    </row>
    <row r="32" s="26" customFormat="1" ht="14.5" spans="1:88">
      <c r="A32" s="26" t="s">
        <v>120</v>
      </c>
      <c r="B32" s="26">
        <v>16</v>
      </c>
      <c r="C32" s="26" t="s">
        <v>83</v>
      </c>
      <c r="D32" s="26" t="s">
        <v>89</v>
      </c>
      <c r="E32" s="26" t="s">
        <v>85</v>
      </c>
      <c r="F32" s="26" t="s">
        <v>86</v>
      </c>
      <c r="G32" s="26" t="s">
        <v>86</v>
      </c>
      <c r="H32" s="26" t="s">
        <v>86</v>
      </c>
      <c r="J32" s="41">
        <v>3</v>
      </c>
      <c r="K32" s="26">
        <v>3</v>
      </c>
      <c r="L32" s="27">
        <f t="shared" si="0"/>
        <v>3</v>
      </c>
      <c r="M32" s="26">
        <v>6</v>
      </c>
      <c r="N32" s="26">
        <v>6</v>
      </c>
      <c r="O32" s="26">
        <v>6</v>
      </c>
      <c r="P32" s="27">
        <f t="shared" si="1"/>
        <v>6</v>
      </c>
      <c r="Q32" s="26">
        <v>2</v>
      </c>
      <c r="R32" s="26">
        <v>2</v>
      </c>
      <c r="S32" s="26">
        <v>2</v>
      </c>
      <c r="T32" s="27">
        <f t="shared" si="2"/>
        <v>2</v>
      </c>
      <c r="U32" s="42">
        <f t="shared" si="3"/>
        <v>3.75</v>
      </c>
      <c r="W32" s="28">
        <v>7</v>
      </c>
      <c r="X32" s="26">
        <v>6</v>
      </c>
      <c r="Y32" s="26">
        <v>3</v>
      </c>
      <c r="Z32" s="26">
        <v>3</v>
      </c>
      <c r="AA32" s="26">
        <v>5</v>
      </c>
      <c r="AB32" s="26">
        <v>5</v>
      </c>
      <c r="AC32" s="27">
        <f t="shared" si="4"/>
        <v>4.6</v>
      </c>
      <c r="AD32" s="26">
        <v>3</v>
      </c>
      <c r="AE32" s="26">
        <v>3</v>
      </c>
      <c r="AF32" s="26">
        <v>3</v>
      </c>
      <c r="AG32" s="26">
        <v>5</v>
      </c>
      <c r="AH32" s="27">
        <f t="shared" si="5"/>
        <v>3.75</v>
      </c>
      <c r="AI32" s="26">
        <v>6</v>
      </c>
      <c r="AJ32" s="26">
        <v>6</v>
      </c>
      <c r="AK32" s="26">
        <v>5</v>
      </c>
      <c r="AL32" s="26">
        <v>3</v>
      </c>
      <c r="AM32" s="27">
        <f t="shared" si="6"/>
        <v>3.75</v>
      </c>
      <c r="AN32" s="42">
        <f t="shared" si="7"/>
        <v>4.28571428571429</v>
      </c>
      <c r="AP32" s="41">
        <v>5</v>
      </c>
      <c r="AQ32" s="26">
        <v>5</v>
      </c>
      <c r="AR32" s="26">
        <v>5</v>
      </c>
      <c r="AS32" s="26">
        <v>6</v>
      </c>
      <c r="AT32" s="27">
        <f t="shared" si="8"/>
        <v>5.25</v>
      </c>
      <c r="AU32" s="26">
        <v>6</v>
      </c>
      <c r="AV32" s="26">
        <v>5</v>
      </c>
      <c r="AW32" s="26">
        <v>3</v>
      </c>
      <c r="AX32" s="26">
        <v>6</v>
      </c>
      <c r="AY32" s="27">
        <f t="shared" si="9"/>
        <v>5</v>
      </c>
      <c r="AZ32" s="42">
        <f t="shared" si="10"/>
        <v>5.125</v>
      </c>
      <c r="BB32" s="41">
        <v>6</v>
      </c>
      <c r="BC32" s="26">
        <v>6</v>
      </c>
      <c r="BD32" s="26">
        <v>3</v>
      </c>
      <c r="BE32" s="26">
        <v>6</v>
      </c>
      <c r="BF32" s="27">
        <f t="shared" si="11"/>
        <v>5.5</v>
      </c>
      <c r="BG32" s="26">
        <v>6</v>
      </c>
      <c r="BH32" s="26">
        <v>6</v>
      </c>
      <c r="BI32" s="26">
        <v>3</v>
      </c>
      <c r="BJ32" s="27">
        <f t="shared" si="12"/>
        <v>5.33333333333333</v>
      </c>
      <c r="BK32" s="42">
        <f t="shared" si="13"/>
        <v>5.42857142857143</v>
      </c>
      <c r="BM32" s="41">
        <v>4</v>
      </c>
      <c r="BN32" s="26">
        <v>4</v>
      </c>
      <c r="BO32" s="42">
        <f t="shared" si="14"/>
        <v>8</v>
      </c>
      <c r="BP32" s="41">
        <v>5</v>
      </c>
      <c r="BQ32" s="26">
        <v>4</v>
      </c>
      <c r="BR32" s="42">
        <f t="shared" si="15"/>
        <v>9</v>
      </c>
      <c r="BS32" s="26">
        <f t="shared" si="16"/>
        <v>1</v>
      </c>
      <c r="BU32" s="46">
        <v>3</v>
      </c>
      <c r="BV32" s="46">
        <v>1</v>
      </c>
      <c r="BW32" s="46">
        <v>1</v>
      </c>
      <c r="BX32" s="46">
        <v>0</v>
      </c>
      <c r="BY32" s="46">
        <v>15</v>
      </c>
      <c r="BZ32" s="46">
        <v>1</v>
      </c>
      <c r="CA32" s="46">
        <v>0</v>
      </c>
      <c r="CB32" s="46">
        <v>1</v>
      </c>
      <c r="CC32" s="46">
        <v>3</v>
      </c>
      <c r="CD32" s="46">
        <v>1</v>
      </c>
      <c r="CE32" s="46">
        <v>0</v>
      </c>
      <c r="CF32" s="46">
        <v>1</v>
      </c>
      <c r="CG32" s="46">
        <v>2</v>
      </c>
      <c r="CH32" s="46">
        <v>2</v>
      </c>
      <c r="CI32" s="46">
        <v>67</v>
      </c>
      <c r="CJ32" s="46">
        <v>336.4569</v>
      </c>
    </row>
    <row r="33" ht="14.5" spans="1:88">
      <c r="A33" t="s">
        <v>121</v>
      </c>
      <c r="B33">
        <v>15</v>
      </c>
      <c r="C33" t="s">
        <v>91</v>
      </c>
      <c r="D33" t="s">
        <v>84</v>
      </c>
      <c r="E33" t="s">
        <v>85</v>
      </c>
      <c r="F33" t="s">
        <v>87</v>
      </c>
      <c r="G33" t="s">
        <v>87</v>
      </c>
      <c r="H33" t="s">
        <v>87</v>
      </c>
      <c r="J33" s="7">
        <v>4</v>
      </c>
      <c r="K33">
        <v>3</v>
      </c>
      <c r="L33" s="27">
        <f t="shared" si="0"/>
        <v>3.5</v>
      </c>
      <c r="M33">
        <v>6</v>
      </c>
      <c r="N33">
        <v>7</v>
      </c>
      <c r="O33">
        <v>7</v>
      </c>
      <c r="P33" s="27">
        <f t="shared" si="1"/>
        <v>6.66666666666667</v>
      </c>
      <c r="Q33">
        <v>1</v>
      </c>
      <c r="R33">
        <v>1</v>
      </c>
      <c r="S33">
        <v>1</v>
      </c>
      <c r="T33" s="27">
        <f t="shared" si="2"/>
        <v>1</v>
      </c>
      <c r="U33" s="8">
        <f t="shared" si="3"/>
        <v>3.75</v>
      </c>
      <c r="W33" s="28">
        <v>7</v>
      </c>
      <c r="X33">
        <v>6</v>
      </c>
      <c r="Y33">
        <v>1</v>
      </c>
      <c r="Z33">
        <v>1</v>
      </c>
      <c r="AB33">
        <v>4</v>
      </c>
      <c r="AC33" s="27">
        <f t="shared" si="4"/>
        <v>3.4</v>
      </c>
      <c r="AD33">
        <v>5</v>
      </c>
      <c r="AE33">
        <v>1</v>
      </c>
      <c r="AF33">
        <v>3</v>
      </c>
      <c r="AG33">
        <v>5</v>
      </c>
      <c r="AH33" s="27">
        <f t="shared" si="5"/>
        <v>3.75</v>
      </c>
      <c r="AI33">
        <v>5</v>
      </c>
      <c r="AJ33">
        <v>6</v>
      </c>
      <c r="AK33">
        <v>2</v>
      </c>
      <c r="AL33">
        <v>1</v>
      </c>
      <c r="AM33" s="27">
        <f t="shared" si="6"/>
        <v>2.75</v>
      </c>
      <c r="AN33" s="8">
        <f t="shared" si="7"/>
        <v>3.57142857142857</v>
      </c>
      <c r="AP33" s="7">
        <v>4</v>
      </c>
      <c r="AQ33">
        <v>5</v>
      </c>
      <c r="AR33">
        <v>7</v>
      </c>
      <c r="AS33">
        <v>3</v>
      </c>
      <c r="AT33" s="27">
        <f t="shared" si="8"/>
        <v>4.75</v>
      </c>
      <c r="AU33">
        <v>3</v>
      </c>
      <c r="AV33">
        <v>7</v>
      </c>
      <c r="AW33">
        <v>7</v>
      </c>
      <c r="AX33">
        <v>7</v>
      </c>
      <c r="AY33" s="27">
        <f t="shared" si="9"/>
        <v>6</v>
      </c>
      <c r="AZ33" s="8">
        <f t="shared" si="10"/>
        <v>5.375</v>
      </c>
      <c r="BB33" s="7">
        <v>3</v>
      </c>
      <c r="BC33">
        <v>6</v>
      </c>
      <c r="BD33">
        <v>2</v>
      </c>
      <c r="BE33">
        <v>3</v>
      </c>
      <c r="BF33" s="27">
        <f t="shared" si="11"/>
        <v>4.25</v>
      </c>
      <c r="BG33">
        <v>7</v>
      </c>
      <c r="BH33">
        <v>6</v>
      </c>
      <c r="BI33">
        <v>1</v>
      </c>
      <c r="BJ33" s="27">
        <f t="shared" si="12"/>
        <v>6.33333333333333</v>
      </c>
      <c r="BK33" s="8">
        <f t="shared" si="13"/>
        <v>5.14285714285714</v>
      </c>
      <c r="BM33" s="7">
        <v>0</v>
      </c>
      <c r="BN33">
        <v>5.5</v>
      </c>
      <c r="BO33" s="8">
        <f t="shared" si="14"/>
        <v>5.5</v>
      </c>
      <c r="BP33" s="7">
        <v>0</v>
      </c>
      <c r="BQ33">
        <v>4.5</v>
      </c>
      <c r="BR33" s="8">
        <f t="shared" si="15"/>
        <v>4.5</v>
      </c>
      <c r="BS33">
        <f t="shared" si="16"/>
        <v>-1</v>
      </c>
      <c r="BU33" s="2">
        <v>1</v>
      </c>
      <c r="BV33" s="2">
        <v>4</v>
      </c>
      <c r="BW33" s="2">
        <v>6</v>
      </c>
      <c r="BX33" s="2">
        <v>1</v>
      </c>
      <c r="BY33" s="2">
        <v>15</v>
      </c>
      <c r="BZ33" s="2">
        <v>1</v>
      </c>
      <c r="CA33" s="2">
        <v>0</v>
      </c>
      <c r="CB33" s="2">
        <v>0</v>
      </c>
      <c r="CC33" s="2">
        <v>1</v>
      </c>
      <c r="CD33" s="2">
        <v>3</v>
      </c>
      <c r="CE33" s="2">
        <v>0</v>
      </c>
      <c r="CF33" s="2">
        <v>0</v>
      </c>
      <c r="CG33" s="2">
        <v>1</v>
      </c>
      <c r="CH33" s="2">
        <v>2</v>
      </c>
      <c r="CI33" s="2">
        <v>29</v>
      </c>
      <c r="CJ33" s="2">
        <v>446.1625</v>
      </c>
    </row>
    <row r="34" ht="14.5" spans="1:88">
      <c r="A34" t="s">
        <v>122</v>
      </c>
      <c r="B34">
        <v>15</v>
      </c>
      <c r="C34" t="s">
        <v>91</v>
      </c>
      <c r="D34" t="s">
        <v>84</v>
      </c>
      <c r="E34" t="s">
        <v>85</v>
      </c>
      <c r="F34" t="s">
        <v>86</v>
      </c>
      <c r="G34" t="s">
        <v>86</v>
      </c>
      <c r="H34" t="s">
        <v>86</v>
      </c>
      <c r="J34" s="7">
        <v>7</v>
      </c>
      <c r="K34">
        <v>3</v>
      </c>
      <c r="L34" s="27">
        <f t="shared" si="0"/>
        <v>5</v>
      </c>
      <c r="M34">
        <v>7</v>
      </c>
      <c r="N34">
        <v>7</v>
      </c>
      <c r="O34">
        <v>7</v>
      </c>
      <c r="P34" s="27">
        <f t="shared" si="1"/>
        <v>7</v>
      </c>
      <c r="Q34">
        <v>1</v>
      </c>
      <c r="R34">
        <v>1</v>
      </c>
      <c r="S34">
        <v>1</v>
      </c>
      <c r="T34" s="27">
        <f t="shared" si="2"/>
        <v>1</v>
      </c>
      <c r="U34" s="8">
        <f t="shared" si="3"/>
        <v>4.25</v>
      </c>
      <c r="W34" s="28">
        <v>7</v>
      </c>
      <c r="X34">
        <v>7</v>
      </c>
      <c r="Y34">
        <v>1</v>
      </c>
      <c r="Z34">
        <v>7</v>
      </c>
      <c r="AA34">
        <v>7</v>
      </c>
      <c r="AB34">
        <v>7</v>
      </c>
      <c r="AC34" s="27">
        <f t="shared" si="4"/>
        <v>6.8</v>
      </c>
      <c r="AD34">
        <v>1</v>
      </c>
      <c r="AE34">
        <v>6</v>
      </c>
      <c r="AF34">
        <v>2</v>
      </c>
      <c r="AG34">
        <v>7</v>
      </c>
      <c r="AH34" s="27">
        <f t="shared" si="5"/>
        <v>4.75</v>
      </c>
      <c r="AI34">
        <v>2</v>
      </c>
      <c r="AJ34">
        <v>6</v>
      </c>
      <c r="AK34">
        <v>2</v>
      </c>
      <c r="AL34">
        <v>2</v>
      </c>
      <c r="AM34" s="27">
        <f t="shared" si="6"/>
        <v>3.75</v>
      </c>
      <c r="AN34" s="8">
        <f t="shared" si="7"/>
        <v>5.35714285714286</v>
      </c>
      <c r="AP34" s="7">
        <v>5</v>
      </c>
      <c r="AQ34">
        <v>5</v>
      </c>
      <c r="AR34">
        <v>5</v>
      </c>
      <c r="AS34">
        <v>6</v>
      </c>
      <c r="AT34" s="27">
        <f t="shared" si="8"/>
        <v>5.25</v>
      </c>
      <c r="AU34">
        <v>6</v>
      </c>
      <c r="AV34">
        <v>7</v>
      </c>
      <c r="AW34">
        <v>7</v>
      </c>
      <c r="AX34">
        <v>7</v>
      </c>
      <c r="AY34" s="27">
        <f t="shared" si="9"/>
        <v>6.75</v>
      </c>
      <c r="AZ34" s="8">
        <f t="shared" si="10"/>
        <v>6</v>
      </c>
      <c r="BB34" s="7">
        <v>7</v>
      </c>
      <c r="BC34">
        <v>7</v>
      </c>
      <c r="BD34">
        <v>3</v>
      </c>
      <c r="BE34">
        <v>7</v>
      </c>
      <c r="BF34" s="27">
        <f t="shared" si="11"/>
        <v>6.25</v>
      </c>
      <c r="BG34">
        <v>7</v>
      </c>
      <c r="BH34">
        <v>7</v>
      </c>
      <c r="BI34">
        <v>1</v>
      </c>
      <c r="BJ34" s="27">
        <f t="shared" si="12"/>
        <v>6.66666666666667</v>
      </c>
      <c r="BK34" s="8">
        <f t="shared" si="13"/>
        <v>6.42857142857143</v>
      </c>
      <c r="BM34" s="7">
        <v>0</v>
      </c>
      <c r="BN34">
        <v>3</v>
      </c>
      <c r="BO34" s="8">
        <f t="shared" si="14"/>
        <v>3</v>
      </c>
      <c r="BP34" s="7">
        <v>0.5</v>
      </c>
      <c r="BQ34">
        <v>1.5</v>
      </c>
      <c r="BR34" s="8">
        <f t="shared" si="15"/>
        <v>2</v>
      </c>
      <c r="BS34">
        <f t="shared" si="16"/>
        <v>-1</v>
      </c>
      <c r="BU34" s="2">
        <v>1</v>
      </c>
      <c r="BV34" s="2">
        <v>0</v>
      </c>
      <c r="BW34" s="2">
        <v>0</v>
      </c>
      <c r="BX34" s="2">
        <v>0</v>
      </c>
      <c r="BY34" s="2">
        <v>15</v>
      </c>
      <c r="BZ34" s="2">
        <v>1</v>
      </c>
      <c r="CA34" s="2">
        <v>0</v>
      </c>
      <c r="CB34" s="2">
        <v>1</v>
      </c>
      <c r="CC34" s="2">
        <v>1</v>
      </c>
      <c r="CD34" s="2">
        <v>3</v>
      </c>
      <c r="CE34" s="2">
        <v>0</v>
      </c>
      <c r="CF34" s="2">
        <v>1</v>
      </c>
      <c r="CG34" s="2">
        <v>1</v>
      </c>
      <c r="CH34" s="2">
        <v>3</v>
      </c>
      <c r="CI34" s="2">
        <v>29</v>
      </c>
      <c r="CJ34" s="2">
        <v>481.9362</v>
      </c>
    </row>
    <row r="35" s="26" customFormat="1" ht="14.5" spans="1:88">
      <c r="A35" s="26" t="s">
        <v>123</v>
      </c>
      <c r="B35" s="26">
        <v>15</v>
      </c>
      <c r="C35" s="26" t="s">
        <v>83</v>
      </c>
      <c r="D35" s="26" t="s">
        <v>89</v>
      </c>
      <c r="E35" s="26" t="s">
        <v>85</v>
      </c>
      <c r="F35" s="26" t="s">
        <v>86</v>
      </c>
      <c r="G35" s="26" t="s">
        <v>87</v>
      </c>
      <c r="H35" s="26" t="s">
        <v>86</v>
      </c>
      <c r="J35" s="41">
        <v>4</v>
      </c>
      <c r="K35" s="26">
        <v>5</v>
      </c>
      <c r="L35" s="27">
        <f t="shared" si="0"/>
        <v>4.5</v>
      </c>
      <c r="M35" s="26">
        <v>6</v>
      </c>
      <c r="N35" s="26">
        <v>5</v>
      </c>
      <c r="O35" s="26">
        <v>6</v>
      </c>
      <c r="P35" s="27">
        <f t="shared" si="1"/>
        <v>5.66666666666667</v>
      </c>
      <c r="Q35" s="26">
        <v>4</v>
      </c>
      <c r="R35" s="26">
        <v>3</v>
      </c>
      <c r="S35" s="26">
        <v>3</v>
      </c>
      <c r="T35" s="27">
        <f t="shared" si="2"/>
        <v>3.33333333333333</v>
      </c>
      <c r="U35" s="42">
        <f t="shared" si="3"/>
        <v>4.5</v>
      </c>
      <c r="W35" s="28">
        <v>7</v>
      </c>
      <c r="X35" s="26">
        <v>7</v>
      </c>
      <c r="Y35" s="26">
        <v>3</v>
      </c>
      <c r="Z35" s="26">
        <v>3</v>
      </c>
      <c r="AA35" s="26">
        <v>7</v>
      </c>
      <c r="AB35" s="26">
        <v>6</v>
      </c>
      <c r="AC35" s="27">
        <f t="shared" si="4"/>
        <v>5.4</v>
      </c>
      <c r="AD35" s="26">
        <v>3</v>
      </c>
      <c r="AE35" s="26">
        <v>3</v>
      </c>
      <c r="AF35" s="26">
        <v>3</v>
      </c>
      <c r="AG35" s="26">
        <v>6</v>
      </c>
      <c r="AH35" s="27">
        <f t="shared" si="5"/>
        <v>4</v>
      </c>
      <c r="AI35" s="26">
        <v>2</v>
      </c>
      <c r="AJ35" s="26">
        <v>6</v>
      </c>
      <c r="AK35" s="26">
        <v>2</v>
      </c>
      <c r="AL35" s="26">
        <v>4</v>
      </c>
      <c r="AM35" s="27">
        <f t="shared" si="6"/>
        <v>4.25</v>
      </c>
      <c r="AN35" s="42">
        <f t="shared" si="7"/>
        <v>4.78571428571429</v>
      </c>
      <c r="AP35" s="41">
        <v>5</v>
      </c>
      <c r="AQ35" s="26">
        <v>5</v>
      </c>
      <c r="AR35" s="26">
        <v>5</v>
      </c>
      <c r="AS35" s="26">
        <v>5</v>
      </c>
      <c r="AT35" s="27">
        <f t="shared" si="8"/>
        <v>5</v>
      </c>
      <c r="AU35" s="26">
        <v>4</v>
      </c>
      <c r="AV35" s="26">
        <v>5</v>
      </c>
      <c r="AW35" s="26">
        <v>5</v>
      </c>
      <c r="AX35" s="26">
        <v>4</v>
      </c>
      <c r="AY35" s="27">
        <f t="shared" si="9"/>
        <v>4.5</v>
      </c>
      <c r="AZ35" s="42">
        <f t="shared" si="10"/>
        <v>4.75</v>
      </c>
      <c r="BB35" s="41">
        <v>4</v>
      </c>
      <c r="BC35" s="26">
        <v>4</v>
      </c>
      <c r="BD35" s="26">
        <v>6</v>
      </c>
      <c r="BE35" s="26">
        <v>4</v>
      </c>
      <c r="BF35" s="27">
        <f t="shared" si="11"/>
        <v>3.25</v>
      </c>
      <c r="BG35" s="26">
        <v>3</v>
      </c>
      <c r="BH35" s="26">
        <v>3</v>
      </c>
      <c r="BI35" s="26">
        <v>4</v>
      </c>
      <c r="BJ35" s="27">
        <f t="shared" si="12"/>
        <v>3</v>
      </c>
      <c r="BK35" s="42">
        <f t="shared" si="13"/>
        <v>3.14285714285714</v>
      </c>
      <c r="BM35" s="41">
        <v>1</v>
      </c>
      <c r="BN35" s="26">
        <v>5</v>
      </c>
      <c r="BO35" s="42">
        <f t="shared" si="14"/>
        <v>6</v>
      </c>
      <c r="BP35" s="41">
        <v>0</v>
      </c>
      <c r="BQ35" s="26">
        <v>1</v>
      </c>
      <c r="BR35" s="42">
        <f t="shared" si="15"/>
        <v>1</v>
      </c>
      <c r="BS35" s="26">
        <f t="shared" si="16"/>
        <v>-5</v>
      </c>
      <c r="BU35" s="46">
        <v>1</v>
      </c>
      <c r="BV35" s="46">
        <v>0</v>
      </c>
      <c r="BW35" s="46">
        <v>0</v>
      </c>
      <c r="BX35" s="46">
        <v>3</v>
      </c>
      <c r="BY35" s="46">
        <v>17</v>
      </c>
      <c r="BZ35" s="46">
        <v>1</v>
      </c>
      <c r="CA35" s="46">
        <v>0</v>
      </c>
      <c r="CB35" s="46">
        <v>0</v>
      </c>
      <c r="CC35" s="46">
        <v>2</v>
      </c>
      <c r="CD35" s="46">
        <v>1</v>
      </c>
      <c r="CE35" s="46">
        <v>0</v>
      </c>
      <c r="CF35" s="46">
        <v>0</v>
      </c>
      <c r="CG35" s="46">
        <v>2</v>
      </c>
      <c r="CH35" s="46">
        <v>2</v>
      </c>
      <c r="CI35" s="46">
        <v>65</v>
      </c>
      <c r="CJ35" s="46">
        <v>481.6322</v>
      </c>
    </row>
    <row r="36" s="26" customFormat="1" ht="14.5" spans="1:88">
      <c r="A36" s="26" t="s">
        <v>124</v>
      </c>
      <c r="B36" s="26">
        <v>15</v>
      </c>
      <c r="C36" s="26" t="s">
        <v>83</v>
      </c>
      <c r="D36" s="26" t="s">
        <v>89</v>
      </c>
      <c r="E36" s="26" t="s">
        <v>85</v>
      </c>
      <c r="F36" s="26" t="s">
        <v>87</v>
      </c>
      <c r="G36" s="26" t="s">
        <v>87</v>
      </c>
      <c r="H36" s="26" t="s">
        <v>86</v>
      </c>
      <c r="J36" s="41">
        <v>3</v>
      </c>
      <c r="K36" s="26">
        <v>2</v>
      </c>
      <c r="L36" s="27">
        <f t="shared" si="0"/>
        <v>2.5</v>
      </c>
      <c r="M36" s="26">
        <v>5</v>
      </c>
      <c r="N36" s="26">
        <v>6</v>
      </c>
      <c r="O36" s="26">
        <v>6</v>
      </c>
      <c r="P36" s="27">
        <f t="shared" si="1"/>
        <v>5.66666666666667</v>
      </c>
      <c r="Q36" s="26">
        <v>5</v>
      </c>
      <c r="R36" s="26">
        <v>2</v>
      </c>
      <c r="S36" s="26">
        <v>3</v>
      </c>
      <c r="T36" s="27">
        <f t="shared" si="2"/>
        <v>3.33333333333333</v>
      </c>
      <c r="U36" s="42">
        <f t="shared" si="3"/>
        <v>4</v>
      </c>
      <c r="W36" s="28">
        <v>7</v>
      </c>
      <c r="X36" s="26">
        <v>7</v>
      </c>
      <c r="Y36" s="26">
        <v>6</v>
      </c>
      <c r="Z36" s="26">
        <v>3</v>
      </c>
      <c r="AA36" s="26">
        <v>2</v>
      </c>
      <c r="AB36" s="26">
        <v>5</v>
      </c>
      <c r="AC36" s="27">
        <f t="shared" si="4"/>
        <v>3.6</v>
      </c>
      <c r="AD36" s="26">
        <v>4</v>
      </c>
      <c r="AE36" s="26">
        <v>3</v>
      </c>
      <c r="AF36" s="26">
        <v>2</v>
      </c>
      <c r="AG36" s="26">
        <v>3</v>
      </c>
      <c r="AH36" s="27">
        <f t="shared" si="5"/>
        <v>3.75</v>
      </c>
      <c r="AI36" s="26">
        <v>6</v>
      </c>
      <c r="AJ36" s="26">
        <v>6</v>
      </c>
      <c r="AK36" s="26">
        <v>6</v>
      </c>
      <c r="AL36" s="26">
        <v>6</v>
      </c>
      <c r="AM36" s="27">
        <f t="shared" si="6"/>
        <v>4.75</v>
      </c>
      <c r="AN36" s="42">
        <f t="shared" si="7"/>
        <v>4.21428571428571</v>
      </c>
      <c r="AP36" s="41">
        <v>6</v>
      </c>
      <c r="AQ36" s="26">
        <v>6</v>
      </c>
      <c r="AR36" s="26">
        <v>6</v>
      </c>
      <c r="AS36" s="26">
        <v>4</v>
      </c>
      <c r="AT36" s="27">
        <f t="shared" si="8"/>
        <v>5.5</v>
      </c>
      <c r="AU36" s="26">
        <v>4</v>
      </c>
      <c r="AV36" s="26">
        <v>6</v>
      </c>
      <c r="AW36" s="26">
        <v>6</v>
      </c>
      <c r="AX36" s="26">
        <v>6</v>
      </c>
      <c r="AY36" s="27">
        <f t="shared" si="9"/>
        <v>5.5</v>
      </c>
      <c r="AZ36" s="42">
        <f t="shared" si="10"/>
        <v>5.5</v>
      </c>
      <c r="BB36" s="41">
        <v>6</v>
      </c>
      <c r="BC36" s="26">
        <v>4</v>
      </c>
      <c r="BD36" s="26">
        <v>1</v>
      </c>
      <c r="BE36" s="26">
        <v>7</v>
      </c>
      <c r="BF36" s="27">
        <f t="shared" si="11"/>
        <v>5.75</v>
      </c>
      <c r="BG36" s="26">
        <v>7</v>
      </c>
      <c r="BH36" s="26">
        <v>7</v>
      </c>
      <c r="BI36" s="26">
        <v>5</v>
      </c>
      <c r="BJ36" s="27">
        <f t="shared" si="12"/>
        <v>5.33333333333333</v>
      </c>
      <c r="BK36" s="42">
        <f t="shared" si="13"/>
        <v>5.57142857142857</v>
      </c>
      <c r="BM36" s="41">
        <v>0.5</v>
      </c>
      <c r="BN36" s="26">
        <v>2</v>
      </c>
      <c r="BO36" s="42">
        <f t="shared" si="14"/>
        <v>2.5</v>
      </c>
      <c r="BP36" s="41">
        <v>0.5</v>
      </c>
      <c r="BQ36" s="26">
        <v>0</v>
      </c>
      <c r="BR36" s="42">
        <f t="shared" si="15"/>
        <v>0.5</v>
      </c>
      <c r="BS36" s="26">
        <f t="shared" si="16"/>
        <v>-2</v>
      </c>
      <c r="BU36" s="46">
        <v>1</v>
      </c>
      <c r="BV36" s="46">
        <v>4</v>
      </c>
      <c r="BW36" s="46">
        <v>6</v>
      </c>
      <c r="BX36" s="46">
        <v>0</v>
      </c>
      <c r="BY36" s="46">
        <v>15</v>
      </c>
      <c r="BZ36" s="46">
        <v>1</v>
      </c>
      <c r="CA36" s="46">
        <v>0</v>
      </c>
      <c r="CB36" s="46">
        <v>2</v>
      </c>
      <c r="CC36" s="46">
        <v>3</v>
      </c>
      <c r="CD36" s="46">
        <v>2</v>
      </c>
      <c r="CE36" s="46">
        <v>1</v>
      </c>
      <c r="CF36" s="46">
        <v>4</v>
      </c>
      <c r="CG36" s="46">
        <v>3</v>
      </c>
      <c r="CH36" s="46">
        <v>2</v>
      </c>
      <c r="CI36" s="46">
        <v>150</v>
      </c>
      <c r="CJ36" s="46">
        <v>374.9441</v>
      </c>
    </row>
    <row r="37" s="26" customFormat="1" ht="14.5" spans="1:88">
      <c r="A37" s="26" t="s">
        <v>125</v>
      </c>
      <c r="B37" s="26">
        <v>16</v>
      </c>
      <c r="C37" s="26" t="s">
        <v>83</v>
      </c>
      <c r="D37" s="26" t="s">
        <v>89</v>
      </c>
      <c r="E37" s="26" t="s">
        <v>85</v>
      </c>
      <c r="F37" s="26" t="s">
        <v>86</v>
      </c>
      <c r="G37" s="26" t="s">
        <v>86</v>
      </c>
      <c r="H37" s="26" t="s">
        <v>86</v>
      </c>
      <c r="J37" s="41">
        <v>3</v>
      </c>
      <c r="K37" s="26">
        <v>4</v>
      </c>
      <c r="L37" s="27">
        <f t="shared" si="0"/>
        <v>3.5</v>
      </c>
      <c r="M37" s="26">
        <v>3</v>
      </c>
      <c r="N37" s="26">
        <v>4</v>
      </c>
      <c r="O37" s="26">
        <v>5</v>
      </c>
      <c r="P37" s="27">
        <f t="shared" si="1"/>
        <v>4</v>
      </c>
      <c r="Q37" s="26">
        <v>1</v>
      </c>
      <c r="R37" s="26">
        <v>1</v>
      </c>
      <c r="S37" s="26">
        <v>1</v>
      </c>
      <c r="T37" s="27">
        <f t="shared" si="2"/>
        <v>1</v>
      </c>
      <c r="U37" s="42">
        <f t="shared" si="3"/>
        <v>2.75</v>
      </c>
      <c r="W37" s="28">
        <v>7</v>
      </c>
      <c r="X37" s="26">
        <v>7</v>
      </c>
      <c r="Y37" s="26">
        <v>7</v>
      </c>
      <c r="Z37" s="26">
        <v>7</v>
      </c>
      <c r="AA37" s="26">
        <v>7</v>
      </c>
      <c r="AB37" s="26">
        <v>7</v>
      </c>
      <c r="AC37" s="27">
        <f t="shared" si="4"/>
        <v>5.6</v>
      </c>
      <c r="AD37" s="26">
        <v>1</v>
      </c>
      <c r="AE37" s="26">
        <v>1</v>
      </c>
      <c r="AF37" s="26">
        <v>4</v>
      </c>
      <c r="AG37" s="26">
        <v>6</v>
      </c>
      <c r="AH37" s="27">
        <f t="shared" si="5"/>
        <v>2.75</v>
      </c>
      <c r="AI37" s="26">
        <v>6</v>
      </c>
      <c r="AJ37" s="26">
        <v>6</v>
      </c>
      <c r="AK37" s="26">
        <v>5</v>
      </c>
      <c r="AL37" s="26">
        <v>1</v>
      </c>
      <c r="AM37" s="27">
        <f t="shared" si="6"/>
        <v>3.25</v>
      </c>
      <c r="AN37" s="42">
        <f t="shared" si="7"/>
        <v>4.21428571428571</v>
      </c>
      <c r="AP37" s="41">
        <v>6</v>
      </c>
      <c r="AQ37" s="26">
        <v>6</v>
      </c>
      <c r="AR37" s="26">
        <v>6</v>
      </c>
      <c r="AS37" s="26">
        <v>6</v>
      </c>
      <c r="AT37" s="27">
        <f t="shared" si="8"/>
        <v>6</v>
      </c>
      <c r="AU37" s="26">
        <v>6</v>
      </c>
      <c r="AV37" s="26">
        <v>6</v>
      </c>
      <c r="AW37" s="26">
        <v>6</v>
      </c>
      <c r="AX37" s="26">
        <v>6</v>
      </c>
      <c r="AY37" s="27">
        <f t="shared" si="9"/>
        <v>6</v>
      </c>
      <c r="AZ37" s="42">
        <f t="shared" si="10"/>
        <v>6</v>
      </c>
      <c r="BB37" s="41">
        <v>6</v>
      </c>
      <c r="BC37" s="26">
        <v>6</v>
      </c>
      <c r="BD37" s="26">
        <v>2</v>
      </c>
      <c r="BE37" s="26">
        <v>6</v>
      </c>
      <c r="BF37" s="27">
        <f t="shared" si="11"/>
        <v>5.75</v>
      </c>
      <c r="BG37" s="26">
        <v>6</v>
      </c>
      <c r="BH37" s="26">
        <v>6</v>
      </c>
      <c r="BI37" s="26">
        <v>2</v>
      </c>
      <c r="BJ37" s="27">
        <f t="shared" si="12"/>
        <v>5.66666666666667</v>
      </c>
      <c r="BK37" s="42">
        <f t="shared" si="13"/>
        <v>5.71428571428571</v>
      </c>
      <c r="BM37" s="41">
        <v>0</v>
      </c>
      <c r="BN37" s="26">
        <v>3.5</v>
      </c>
      <c r="BO37" s="42">
        <f t="shared" si="14"/>
        <v>3.5</v>
      </c>
      <c r="BP37" s="41">
        <v>0</v>
      </c>
      <c r="BQ37" s="26">
        <v>2.5</v>
      </c>
      <c r="BR37" s="42">
        <f t="shared" si="15"/>
        <v>2.5</v>
      </c>
      <c r="BS37" s="26">
        <f t="shared" si="16"/>
        <v>-1</v>
      </c>
      <c r="BU37" s="46">
        <v>1</v>
      </c>
      <c r="BV37" s="46">
        <v>1</v>
      </c>
      <c r="BW37" s="46">
        <v>1</v>
      </c>
      <c r="BX37" s="46">
        <v>2</v>
      </c>
      <c r="BY37" s="46">
        <v>17</v>
      </c>
      <c r="BZ37" s="46">
        <v>1</v>
      </c>
      <c r="CA37" s="46">
        <v>0</v>
      </c>
      <c r="CB37" s="46">
        <v>2</v>
      </c>
      <c r="CC37" s="46">
        <v>2</v>
      </c>
      <c r="CD37" s="46">
        <v>4</v>
      </c>
      <c r="CE37" s="46">
        <v>0</v>
      </c>
      <c r="CF37" s="46">
        <v>0</v>
      </c>
      <c r="CG37" s="46">
        <v>2</v>
      </c>
      <c r="CH37" s="46">
        <v>2</v>
      </c>
      <c r="CI37" s="46">
        <v>52</v>
      </c>
      <c r="CJ37" s="46">
        <v>256.7368</v>
      </c>
    </row>
    <row r="38" ht="14.5" spans="1:88">
      <c r="A38" t="s">
        <v>126</v>
      </c>
      <c r="B38">
        <v>15</v>
      </c>
      <c r="C38" t="s">
        <v>83</v>
      </c>
      <c r="D38" t="s">
        <v>84</v>
      </c>
      <c r="E38" t="s">
        <v>85</v>
      </c>
      <c r="F38" t="s">
        <v>86</v>
      </c>
      <c r="G38" t="s">
        <v>86</v>
      </c>
      <c r="H38" t="s">
        <v>86</v>
      </c>
      <c r="J38" s="7">
        <v>5</v>
      </c>
      <c r="K38">
        <v>5</v>
      </c>
      <c r="L38" s="27">
        <f t="shared" si="0"/>
        <v>5</v>
      </c>
      <c r="M38">
        <v>6</v>
      </c>
      <c r="N38">
        <v>7</v>
      </c>
      <c r="O38">
        <v>7</v>
      </c>
      <c r="P38" s="27">
        <f t="shared" si="1"/>
        <v>6.66666666666667</v>
      </c>
      <c r="Q38">
        <v>3</v>
      </c>
      <c r="R38">
        <v>2</v>
      </c>
      <c r="S38">
        <v>3</v>
      </c>
      <c r="T38" s="27">
        <f t="shared" si="2"/>
        <v>2.66666666666667</v>
      </c>
      <c r="U38" s="8">
        <f t="shared" si="3"/>
        <v>4.75</v>
      </c>
      <c r="W38" s="28">
        <v>6</v>
      </c>
      <c r="X38">
        <v>7</v>
      </c>
      <c r="Y38">
        <v>3</v>
      </c>
      <c r="Z38">
        <v>4</v>
      </c>
      <c r="AA38">
        <v>5</v>
      </c>
      <c r="AB38">
        <v>5</v>
      </c>
      <c r="AC38" s="27">
        <f t="shared" si="4"/>
        <v>5</v>
      </c>
      <c r="AD38">
        <v>5</v>
      </c>
      <c r="AE38">
        <v>2</v>
      </c>
      <c r="AF38">
        <v>3</v>
      </c>
      <c r="AG38">
        <v>5</v>
      </c>
      <c r="AH38" s="27">
        <f t="shared" si="5"/>
        <v>4</v>
      </c>
      <c r="AI38">
        <v>6</v>
      </c>
      <c r="AJ38">
        <v>5</v>
      </c>
      <c r="AK38">
        <v>5</v>
      </c>
      <c r="AL38">
        <v>4</v>
      </c>
      <c r="AM38" s="27">
        <f t="shared" si="6"/>
        <v>3.75</v>
      </c>
      <c r="AN38" s="8">
        <f t="shared" si="7"/>
        <v>4.42857142857143</v>
      </c>
      <c r="AP38" s="7">
        <v>5</v>
      </c>
      <c r="AQ38">
        <v>5</v>
      </c>
      <c r="AR38">
        <v>4</v>
      </c>
      <c r="AS38">
        <v>5</v>
      </c>
      <c r="AT38" s="27">
        <f t="shared" si="8"/>
        <v>4.75</v>
      </c>
      <c r="AU38">
        <v>6</v>
      </c>
      <c r="AV38">
        <v>6</v>
      </c>
      <c r="AW38">
        <v>6</v>
      </c>
      <c r="AX38">
        <v>7</v>
      </c>
      <c r="AY38" s="27">
        <f t="shared" si="9"/>
        <v>6.25</v>
      </c>
      <c r="AZ38" s="8">
        <f t="shared" si="10"/>
        <v>5.5</v>
      </c>
      <c r="BB38" s="7">
        <v>7</v>
      </c>
      <c r="BC38">
        <v>6</v>
      </c>
      <c r="BD38">
        <v>5</v>
      </c>
      <c r="BE38">
        <v>5</v>
      </c>
      <c r="BF38" s="27">
        <f t="shared" si="11"/>
        <v>5</v>
      </c>
      <c r="BG38">
        <v>7</v>
      </c>
      <c r="BH38">
        <v>7</v>
      </c>
      <c r="BI38">
        <v>2</v>
      </c>
      <c r="BJ38" s="27">
        <f t="shared" si="12"/>
        <v>6.33333333333333</v>
      </c>
      <c r="BK38" s="8">
        <f t="shared" si="13"/>
        <v>5.57142857142857</v>
      </c>
      <c r="BM38" s="7">
        <v>0</v>
      </c>
      <c r="BN38">
        <v>2.5</v>
      </c>
      <c r="BO38" s="8">
        <f t="shared" si="14"/>
        <v>2.5</v>
      </c>
      <c r="BP38" s="7">
        <v>0.5</v>
      </c>
      <c r="BQ38">
        <v>5.5</v>
      </c>
      <c r="BR38" s="8">
        <f t="shared" si="15"/>
        <v>6</v>
      </c>
      <c r="BS38">
        <f t="shared" si="16"/>
        <v>3.5</v>
      </c>
      <c r="BU38" s="2">
        <v>1</v>
      </c>
      <c r="BV38" s="2">
        <v>3</v>
      </c>
      <c r="BW38" s="2">
        <v>3</v>
      </c>
      <c r="BX38" s="2">
        <v>1</v>
      </c>
      <c r="BY38" s="2">
        <v>16</v>
      </c>
      <c r="BZ38" s="2">
        <v>1</v>
      </c>
      <c r="CA38" s="2">
        <v>0</v>
      </c>
      <c r="CB38" s="2">
        <v>1</v>
      </c>
      <c r="CC38" s="2">
        <v>1</v>
      </c>
      <c r="CD38" s="2">
        <v>2</v>
      </c>
      <c r="CE38" s="2">
        <v>0</v>
      </c>
      <c r="CF38" s="2">
        <v>1</v>
      </c>
      <c r="CG38" s="2">
        <v>2</v>
      </c>
      <c r="CH38" s="2">
        <v>3</v>
      </c>
      <c r="CI38" s="2">
        <v>50</v>
      </c>
      <c r="CJ38" s="2">
        <v>441.4683</v>
      </c>
    </row>
    <row r="39" s="26" customFormat="1" ht="14.5" spans="1:88">
      <c r="A39" s="26" t="s">
        <v>127</v>
      </c>
      <c r="B39" s="26">
        <v>16</v>
      </c>
      <c r="C39" s="26" t="s">
        <v>91</v>
      </c>
      <c r="D39" s="26" t="s">
        <v>89</v>
      </c>
      <c r="E39" s="26" t="s">
        <v>85</v>
      </c>
      <c r="F39" s="26" t="s">
        <v>86</v>
      </c>
      <c r="G39" s="26" t="s">
        <v>87</v>
      </c>
      <c r="H39" s="26" t="s">
        <v>86</v>
      </c>
      <c r="J39" s="41">
        <v>1</v>
      </c>
      <c r="K39" s="26">
        <v>1</v>
      </c>
      <c r="L39" s="27">
        <f t="shared" si="0"/>
        <v>1</v>
      </c>
      <c r="M39" s="26">
        <v>7</v>
      </c>
      <c r="N39" s="26">
        <v>7</v>
      </c>
      <c r="O39" s="26">
        <v>7</v>
      </c>
      <c r="P39" s="27">
        <f t="shared" si="1"/>
        <v>7</v>
      </c>
      <c r="Q39" s="26">
        <v>1</v>
      </c>
      <c r="R39" s="26">
        <v>1</v>
      </c>
      <c r="S39" s="26">
        <v>1</v>
      </c>
      <c r="T39" s="27">
        <f t="shared" si="2"/>
        <v>1</v>
      </c>
      <c r="U39" s="42">
        <f t="shared" si="3"/>
        <v>3.25</v>
      </c>
      <c r="W39" s="28">
        <v>7</v>
      </c>
      <c r="X39" s="26">
        <v>3</v>
      </c>
      <c r="Y39" s="26">
        <v>1</v>
      </c>
      <c r="Z39" s="26">
        <v>1</v>
      </c>
      <c r="AA39" s="26">
        <v>5</v>
      </c>
      <c r="AB39" s="26">
        <v>7</v>
      </c>
      <c r="AC39" s="27">
        <f t="shared" si="4"/>
        <v>4.4</v>
      </c>
      <c r="AD39" s="26">
        <v>2</v>
      </c>
      <c r="AE39" s="26">
        <v>2</v>
      </c>
      <c r="AF39" s="26">
        <v>6</v>
      </c>
      <c r="AG39" s="26">
        <v>2</v>
      </c>
      <c r="AH39" s="27">
        <f t="shared" si="5"/>
        <v>1.75</v>
      </c>
      <c r="AI39" s="26">
        <v>2</v>
      </c>
      <c r="AJ39" s="26">
        <v>4</v>
      </c>
      <c r="AK39" s="26">
        <v>5</v>
      </c>
      <c r="AL39" s="26">
        <v>1</v>
      </c>
      <c r="AM39" s="27">
        <f t="shared" si="6"/>
        <v>3.75</v>
      </c>
      <c r="AN39" s="42">
        <f t="shared" si="7"/>
        <v>3.64285714285714</v>
      </c>
      <c r="AP39" s="41">
        <v>1</v>
      </c>
      <c r="AQ39" s="26">
        <v>1</v>
      </c>
      <c r="AR39" s="26">
        <v>3</v>
      </c>
      <c r="AS39" s="26">
        <v>3</v>
      </c>
      <c r="AT39" s="27">
        <f t="shared" si="8"/>
        <v>2</v>
      </c>
      <c r="AU39" s="26">
        <v>3</v>
      </c>
      <c r="AV39" s="26">
        <v>6</v>
      </c>
      <c r="AW39" s="26">
        <v>6</v>
      </c>
      <c r="AX39" s="26">
        <v>5</v>
      </c>
      <c r="AY39" s="27">
        <f t="shared" si="9"/>
        <v>5</v>
      </c>
      <c r="AZ39" s="42">
        <f t="shared" si="10"/>
        <v>3.5</v>
      </c>
      <c r="BB39" s="41">
        <v>1</v>
      </c>
      <c r="BC39" s="26">
        <v>1</v>
      </c>
      <c r="BD39" s="26">
        <v>5</v>
      </c>
      <c r="BE39" s="26">
        <v>2</v>
      </c>
      <c r="BF39" s="27">
        <f t="shared" si="11"/>
        <v>1.5</v>
      </c>
      <c r="BG39" s="26">
        <v>7</v>
      </c>
      <c r="BH39" s="26">
        <v>5</v>
      </c>
      <c r="BI39" s="26">
        <v>1</v>
      </c>
      <c r="BJ39" s="27">
        <f t="shared" si="12"/>
        <v>6</v>
      </c>
      <c r="BK39" s="42">
        <f t="shared" si="13"/>
        <v>3.42857142857143</v>
      </c>
      <c r="BM39" s="41">
        <v>2</v>
      </c>
      <c r="BN39" s="26">
        <v>8</v>
      </c>
      <c r="BO39" s="42">
        <f t="shared" si="14"/>
        <v>10</v>
      </c>
      <c r="BP39" s="41">
        <v>2</v>
      </c>
      <c r="BQ39" s="26">
        <v>8</v>
      </c>
      <c r="BR39" s="42">
        <f t="shared" si="15"/>
        <v>10</v>
      </c>
      <c r="BS39" s="26">
        <f t="shared" si="16"/>
        <v>0</v>
      </c>
      <c r="BU39" s="46">
        <v>1</v>
      </c>
      <c r="BV39" s="46">
        <v>1</v>
      </c>
      <c r="BW39" s="46">
        <v>2</v>
      </c>
      <c r="BX39" s="46">
        <v>0</v>
      </c>
      <c r="BY39" s="46">
        <v>15</v>
      </c>
      <c r="BZ39" s="46">
        <v>1</v>
      </c>
      <c r="CA39" s="46">
        <v>0</v>
      </c>
      <c r="CB39" s="46">
        <v>0</v>
      </c>
      <c r="CC39" s="46">
        <v>1</v>
      </c>
      <c r="CD39" s="46">
        <v>1</v>
      </c>
      <c r="CE39" s="46">
        <v>0</v>
      </c>
      <c r="CF39" s="46">
        <v>0</v>
      </c>
      <c r="CG39" s="46">
        <v>1</v>
      </c>
      <c r="CH39" s="46">
        <v>2</v>
      </c>
      <c r="CI39" s="46">
        <v>2</v>
      </c>
      <c r="CJ39" s="46">
        <v>317.2584</v>
      </c>
    </row>
    <row r="40" ht="14.5" spans="1:88">
      <c r="A40" t="s">
        <v>128</v>
      </c>
      <c r="B40">
        <v>16</v>
      </c>
      <c r="C40" t="s">
        <v>91</v>
      </c>
      <c r="D40" t="s">
        <v>84</v>
      </c>
      <c r="E40" t="s">
        <v>85</v>
      </c>
      <c r="F40" t="s">
        <v>87</v>
      </c>
      <c r="G40" t="s">
        <v>87</v>
      </c>
      <c r="H40" t="s">
        <v>86</v>
      </c>
      <c r="J40" s="7">
        <v>3</v>
      </c>
      <c r="K40">
        <v>3</v>
      </c>
      <c r="L40" s="27">
        <f t="shared" si="0"/>
        <v>3</v>
      </c>
      <c r="M40">
        <v>6</v>
      </c>
      <c r="N40">
        <v>6</v>
      </c>
      <c r="O40">
        <v>6</v>
      </c>
      <c r="P40" s="27">
        <f t="shared" si="1"/>
        <v>6</v>
      </c>
      <c r="Q40">
        <v>3</v>
      </c>
      <c r="R40">
        <v>3</v>
      </c>
      <c r="S40">
        <v>3</v>
      </c>
      <c r="T40" s="27">
        <f t="shared" si="2"/>
        <v>3</v>
      </c>
      <c r="U40" s="8">
        <f t="shared" si="3"/>
        <v>4.125</v>
      </c>
      <c r="W40" s="28">
        <v>7</v>
      </c>
      <c r="X40">
        <v>7</v>
      </c>
      <c r="Y40">
        <v>4</v>
      </c>
      <c r="Z40">
        <v>4</v>
      </c>
      <c r="AA40">
        <v>6</v>
      </c>
      <c r="AB40">
        <v>6</v>
      </c>
      <c r="AC40" s="27">
        <f t="shared" si="4"/>
        <v>5.2</v>
      </c>
      <c r="AD40">
        <v>3</v>
      </c>
      <c r="AE40">
        <v>5</v>
      </c>
      <c r="AF40">
        <v>4</v>
      </c>
      <c r="AG40">
        <v>2</v>
      </c>
      <c r="AH40" s="27">
        <f t="shared" si="5"/>
        <v>3.25</v>
      </c>
      <c r="AI40">
        <v>5</v>
      </c>
      <c r="AJ40">
        <v>3</v>
      </c>
      <c r="AK40">
        <v>3</v>
      </c>
      <c r="AL40">
        <v>1</v>
      </c>
      <c r="AM40" s="27">
        <f t="shared" si="6"/>
        <v>2.25</v>
      </c>
      <c r="AN40" s="8">
        <f t="shared" si="7"/>
        <v>3.92857142857143</v>
      </c>
      <c r="AP40" s="7">
        <v>3</v>
      </c>
      <c r="AQ40">
        <v>3</v>
      </c>
      <c r="AR40">
        <v>5</v>
      </c>
      <c r="AS40">
        <v>4</v>
      </c>
      <c r="AT40" s="27">
        <f t="shared" si="8"/>
        <v>3.75</v>
      </c>
      <c r="AU40">
        <v>5</v>
      </c>
      <c r="AV40">
        <v>5</v>
      </c>
      <c r="AW40">
        <v>5</v>
      </c>
      <c r="AX40">
        <v>5</v>
      </c>
      <c r="AY40" s="27">
        <f t="shared" si="9"/>
        <v>5</v>
      </c>
      <c r="AZ40" s="8">
        <f t="shared" si="10"/>
        <v>4.375</v>
      </c>
      <c r="BB40" s="7">
        <v>5</v>
      </c>
      <c r="BC40">
        <v>4</v>
      </c>
      <c r="BD40">
        <v>3</v>
      </c>
      <c r="BE40">
        <v>5</v>
      </c>
      <c r="BF40" s="27">
        <f t="shared" si="11"/>
        <v>4.5</v>
      </c>
      <c r="BG40">
        <v>5</v>
      </c>
      <c r="BH40">
        <v>5</v>
      </c>
      <c r="BI40">
        <v>3</v>
      </c>
      <c r="BJ40" s="27">
        <f t="shared" si="12"/>
        <v>4.66666666666667</v>
      </c>
      <c r="BK40" s="8">
        <f t="shared" si="13"/>
        <v>4.57142857142857</v>
      </c>
      <c r="BM40" s="7">
        <v>2</v>
      </c>
      <c r="BN40">
        <v>8</v>
      </c>
      <c r="BO40" s="8">
        <f t="shared" si="14"/>
        <v>10</v>
      </c>
      <c r="BP40" s="7">
        <v>1.5</v>
      </c>
      <c r="BQ40">
        <v>7.5</v>
      </c>
      <c r="BR40" s="8">
        <f t="shared" si="15"/>
        <v>9</v>
      </c>
      <c r="BS40">
        <f t="shared" si="16"/>
        <v>-1</v>
      </c>
      <c r="BU40" s="2">
        <v>1</v>
      </c>
      <c r="BV40" s="2">
        <v>2</v>
      </c>
      <c r="BW40" s="2">
        <v>3</v>
      </c>
      <c r="BX40" s="2">
        <v>0</v>
      </c>
      <c r="BY40" s="2">
        <v>15</v>
      </c>
      <c r="BZ40" s="2">
        <v>1</v>
      </c>
      <c r="CA40" s="2">
        <v>0</v>
      </c>
      <c r="CB40" s="2">
        <v>0</v>
      </c>
      <c r="CC40" s="2">
        <v>1</v>
      </c>
      <c r="CD40" s="2">
        <v>1</v>
      </c>
      <c r="CE40" s="2">
        <v>0</v>
      </c>
      <c r="CF40" s="2">
        <v>0</v>
      </c>
      <c r="CG40" s="2">
        <v>1</v>
      </c>
      <c r="CH40" s="2">
        <v>2</v>
      </c>
      <c r="CI40" s="2">
        <v>6</v>
      </c>
      <c r="CJ40" s="2">
        <v>210.7424</v>
      </c>
    </row>
    <row r="41" ht="14.5" spans="1:88">
      <c r="A41" t="s">
        <v>129</v>
      </c>
      <c r="B41">
        <v>16</v>
      </c>
      <c r="C41" t="s">
        <v>91</v>
      </c>
      <c r="D41" t="s">
        <v>84</v>
      </c>
      <c r="E41" t="s">
        <v>85</v>
      </c>
      <c r="F41" t="s">
        <v>86</v>
      </c>
      <c r="G41" t="s">
        <v>87</v>
      </c>
      <c r="H41" t="s">
        <v>86</v>
      </c>
      <c r="J41" s="7">
        <v>3</v>
      </c>
      <c r="K41">
        <v>2</v>
      </c>
      <c r="L41" s="27">
        <f t="shared" si="0"/>
        <v>2.5</v>
      </c>
      <c r="M41">
        <v>5</v>
      </c>
      <c r="N41">
        <v>5</v>
      </c>
      <c r="O41">
        <v>6</v>
      </c>
      <c r="P41" s="27">
        <f t="shared" si="1"/>
        <v>5.33333333333333</v>
      </c>
      <c r="Q41">
        <v>3</v>
      </c>
      <c r="R41">
        <v>3</v>
      </c>
      <c r="S41">
        <v>3</v>
      </c>
      <c r="T41" s="27">
        <f t="shared" si="2"/>
        <v>3</v>
      </c>
      <c r="U41" s="8">
        <f t="shared" si="3"/>
        <v>3.75</v>
      </c>
      <c r="W41" s="28">
        <v>7</v>
      </c>
      <c r="X41">
        <v>7</v>
      </c>
      <c r="Y41">
        <v>3</v>
      </c>
      <c r="Z41">
        <v>2</v>
      </c>
      <c r="AA41">
        <v>6</v>
      </c>
      <c r="AB41">
        <v>6</v>
      </c>
      <c r="AC41" s="27">
        <f t="shared" si="4"/>
        <v>5</v>
      </c>
      <c r="AD41">
        <v>5</v>
      </c>
      <c r="AE41">
        <v>5</v>
      </c>
      <c r="AF41">
        <v>3</v>
      </c>
      <c r="AG41">
        <v>5</v>
      </c>
      <c r="AH41" s="27">
        <f t="shared" si="5"/>
        <v>4.75</v>
      </c>
      <c r="AI41">
        <v>2</v>
      </c>
      <c r="AJ41">
        <v>5</v>
      </c>
      <c r="AK41">
        <v>5</v>
      </c>
      <c r="AL41">
        <v>4</v>
      </c>
      <c r="AM41" s="27">
        <f t="shared" si="6"/>
        <v>4.75</v>
      </c>
      <c r="AN41" s="8">
        <f t="shared" si="7"/>
        <v>5</v>
      </c>
      <c r="AP41" s="7">
        <v>5</v>
      </c>
      <c r="AQ41">
        <v>5</v>
      </c>
      <c r="AR41">
        <v>5</v>
      </c>
      <c r="AS41">
        <v>5</v>
      </c>
      <c r="AT41" s="27">
        <f t="shared" si="8"/>
        <v>5</v>
      </c>
      <c r="AU41">
        <v>5</v>
      </c>
      <c r="AV41">
        <v>5</v>
      </c>
      <c r="AW41">
        <v>6</v>
      </c>
      <c r="AX41">
        <v>6</v>
      </c>
      <c r="AY41" s="27">
        <f t="shared" si="9"/>
        <v>5.5</v>
      </c>
      <c r="AZ41" s="8">
        <f t="shared" si="10"/>
        <v>5.25</v>
      </c>
      <c r="BB41" s="7">
        <v>4</v>
      </c>
      <c r="BC41">
        <v>3</v>
      </c>
      <c r="BD41">
        <v>2</v>
      </c>
      <c r="BE41">
        <v>5</v>
      </c>
      <c r="BF41" s="27">
        <f t="shared" si="11"/>
        <v>4.25</v>
      </c>
      <c r="BG41">
        <v>3</v>
      </c>
      <c r="BH41">
        <v>2</v>
      </c>
      <c r="BI41">
        <v>4</v>
      </c>
      <c r="BJ41" s="27">
        <f t="shared" si="12"/>
        <v>2.66666666666667</v>
      </c>
      <c r="BK41" s="8">
        <f t="shared" si="13"/>
        <v>3.57142857142857</v>
      </c>
      <c r="BM41" s="7">
        <v>2</v>
      </c>
      <c r="BN41">
        <v>8</v>
      </c>
      <c r="BO41" s="8">
        <f t="shared" si="14"/>
        <v>10</v>
      </c>
      <c r="BP41" s="7">
        <v>1.5</v>
      </c>
      <c r="BQ41">
        <v>8</v>
      </c>
      <c r="BR41" s="8">
        <f t="shared" si="15"/>
        <v>9.5</v>
      </c>
      <c r="BS41">
        <f t="shared" si="16"/>
        <v>-0.5</v>
      </c>
      <c r="BU41" s="2">
        <v>1</v>
      </c>
      <c r="BV41" s="2">
        <v>1</v>
      </c>
      <c r="BW41" s="2">
        <v>1</v>
      </c>
      <c r="BX41" s="2">
        <v>0</v>
      </c>
      <c r="BY41" s="2">
        <v>15</v>
      </c>
      <c r="BZ41" s="2">
        <v>1</v>
      </c>
      <c r="CA41" s="2">
        <v>1</v>
      </c>
      <c r="CB41" s="2">
        <v>1</v>
      </c>
      <c r="CC41" s="2">
        <v>1</v>
      </c>
      <c r="CD41" s="2">
        <v>1</v>
      </c>
      <c r="CE41" s="2">
        <v>1</v>
      </c>
      <c r="CF41" s="2">
        <v>5</v>
      </c>
      <c r="CG41" s="2">
        <v>3</v>
      </c>
      <c r="CH41" s="2">
        <v>2</v>
      </c>
      <c r="CI41" s="2">
        <v>5</v>
      </c>
      <c r="CJ41" s="2">
        <v>287.2729</v>
      </c>
    </row>
    <row r="42" s="26" customFormat="1" ht="14.5" spans="1:88">
      <c r="A42" s="26" t="s">
        <v>130</v>
      </c>
      <c r="B42" s="26">
        <v>16</v>
      </c>
      <c r="C42" s="26" t="s">
        <v>91</v>
      </c>
      <c r="D42" s="26" t="s">
        <v>89</v>
      </c>
      <c r="E42" s="26" t="s">
        <v>85</v>
      </c>
      <c r="F42" s="26" t="s">
        <v>86</v>
      </c>
      <c r="G42" s="26" t="s">
        <v>86</v>
      </c>
      <c r="H42" s="26" t="s">
        <v>86</v>
      </c>
      <c r="J42" s="41">
        <v>2</v>
      </c>
      <c r="K42" s="26">
        <v>2</v>
      </c>
      <c r="L42" s="27">
        <f t="shared" si="0"/>
        <v>2</v>
      </c>
      <c r="M42" s="26">
        <v>6</v>
      </c>
      <c r="N42" s="26">
        <v>6</v>
      </c>
      <c r="O42" s="26">
        <v>6</v>
      </c>
      <c r="P42" s="27">
        <f t="shared" si="1"/>
        <v>6</v>
      </c>
      <c r="Q42" s="26">
        <v>2</v>
      </c>
      <c r="R42" s="26">
        <v>2</v>
      </c>
      <c r="S42" s="26">
        <v>2</v>
      </c>
      <c r="T42" s="27">
        <f t="shared" si="2"/>
        <v>2</v>
      </c>
      <c r="U42" s="42">
        <f t="shared" si="3"/>
        <v>3.5</v>
      </c>
      <c r="W42" s="28">
        <v>5</v>
      </c>
      <c r="X42" s="26">
        <v>3</v>
      </c>
      <c r="Y42" s="26">
        <v>2</v>
      </c>
      <c r="Z42" s="26">
        <v>5</v>
      </c>
      <c r="AA42" s="26">
        <v>2</v>
      </c>
      <c r="AB42" s="26">
        <v>2</v>
      </c>
      <c r="AC42" s="27">
        <f t="shared" si="4"/>
        <v>3.4</v>
      </c>
      <c r="AD42" s="26">
        <v>2</v>
      </c>
      <c r="AE42" s="26">
        <v>2</v>
      </c>
      <c r="AF42" s="26">
        <v>3</v>
      </c>
      <c r="AG42" s="26">
        <v>1</v>
      </c>
      <c r="AH42" s="27">
        <f t="shared" si="5"/>
        <v>2.25</v>
      </c>
      <c r="AI42" s="26">
        <v>2</v>
      </c>
      <c r="AJ42" s="26">
        <v>4</v>
      </c>
      <c r="AK42" s="26">
        <v>1</v>
      </c>
      <c r="AL42" s="26">
        <v>1</v>
      </c>
      <c r="AM42" s="27">
        <f t="shared" si="6"/>
        <v>2.75</v>
      </c>
      <c r="AN42" s="42">
        <f t="shared" si="7"/>
        <v>3</v>
      </c>
      <c r="AP42" s="41">
        <v>4</v>
      </c>
      <c r="AQ42" s="26">
        <v>3</v>
      </c>
      <c r="AR42" s="26">
        <v>6</v>
      </c>
      <c r="AS42" s="26">
        <v>2</v>
      </c>
      <c r="AT42" s="27">
        <f t="shared" si="8"/>
        <v>3.75</v>
      </c>
      <c r="AU42" s="26">
        <v>4</v>
      </c>
      <c r="AV42" s="26">
        <v>4</v>
      </c>
      <c r="AW42" s="26">
        <v>4</v>
      </c>
      <c r="AX42" s="26">
        <v>6</v>
      </c>
      <c r="AY42" s="27">
        <f t="shared" si="9"/>
        <v>4.5</v>
      </c>
      <c r="AZ42" s="42">
        <f t="shared" si="10"/>
        <v>4.125</v>
      </c>
      <c r="BB42" s="41">
        <v>7</v>
      </c>
      <c r="BC42" s="26">
        <v>7</v>
      </c>
      <c r="BD42" s="26">
        <v>1</v>
      </c>
      <c r="BE42" s="26">
        <v>7</v>
      </c>
      <c r="BF42" s="27">
        <f t="shared" si="11"/>
        <v>6.75</v>
      </c>
      <c r="BG42" s="26">
        <v>1</v>
      </c>
      <c r="BH42" s="26">
        <v>1</v>
      </c>
      <c r="BI42" s="26">
        <v>3</v>
      </c>
      <c r="BJ42" s="27">
        <f t="shared" si="12"/>
        <v>2</v>
      </c>
      <c r="BK42" s="42">
        <f t="shared" si="13"/>
        <v>4.71428571428571</v>
      </c>
      <c r="BM42" s="41">
        <v>2</v>
      </c>
      <c r="BN42" s="26">
        <v>5.5</v>
      </c>
      <c r="BO42" s="42">
        <f t="shared" si="14"/>
        <v>7.5</v>
      </c>
      <c r="BP42" s="41">
        <v>0.5</v>
      </c>
      <c r="BQ42" s="26">
        <v>5.5</v>
      </c>
      <c r="BR42" s="42">
        <f t="shared" si="15"/>
        <v>6</v>
      </c>
      <c r="BS42" s="26">
        <f t="shared" si="16"/>
        <v>-1.5</v>
      </c>
      <c r="BU42" s="46">
        <v>1</v>
      </c>
      <c r="BV42" s="46">
        <v>1</v>
      </c>
      <c r="BW42" s="46">
        <v>1</v>
      </c>
      <c r="BX42" s="46">
        <v>1</v>
      </c>
      <c r="BY42" s="46">
        <v>16</v>
      </c>
      <c r="BZ42" s="46">
        <v>1</v>
      </c>
      <c r="CA42" s="46">
        <v>1</v>
      </c>
      <c r="CB42" s="46">
        <v>1</v>
      </c>
      <c r="CC42" s="46">
        <v>1</v>
      </c>
      <c r="CD42" s="46">
        <v>2</v>
      </c>
      <c r="CE42" s="46">
        <v>1</v>
      </c>
      <c r="CF42" s="46">
        <v>1</v>
      </c>
      <c r="CG42" s="46">
        <v>2</v>
      </c>
      <c r="CH42" s="46">
        <v>3</v>
      </c>
      <c r="CI42" s="46">
        <v>7</v>
      </c>
      <c r="CJ42" s="46">
        <v>381.3357</v>
      </c>
    </row>
    <row r="43" s="26" customFormat="1" ht="14.5" spans="1:88">
      <c r="A43" s="26" t="s">
        <v>131</v>
      </c>
      <c r="B43" s="26">
        <v>16</v>
      </c>
      <c r="C43" s="26" t="s">
        <v>91</v>
      </c>
      <c r="D43" s="26" t="s">
        <v>89</v>
      </c>
      <c r="E43" s="26" t="s">
        <v>85</v>
      </c>
      <c r="F43" s="26" t="s">
        <v>87</v>
      </c>
      <c r="G43" s="26" t="s">
        <v>87</v>
      </c>
      <c r="H43" s="26" t="s">
        <v>86</v>
      </c>
      <c r="J43" s="41">
        <v>5</v>
      </c>
      <c r="K43" s="26">
        <v>4</v>
      </c>
      <c r="L43" s="27">
        <f t="shared" si="0"/>
        <v>4.5</v>
      </c>
      <c r="M43" s="26">
        <v>6</v>
      </c>
      <c r="N43" s="26">
        <v>6</v>
      </c>
      <c r="O43" s="26">
        <v>6</v>
      </c>
      <c r="P43" s="27">
        <f t="shared" si="1"/>
        <v>6</v>
      </c>
      <c r="Q43" s="26">
        <v>4</v>
      </c>
      <c r="R43" s="26">
        <v>2</v>
      </c>
      <c r="S43" s="26">
        <v>2</v>
      </c>
      <c r="T43" s="27">
        <f t="shared" si="2"/>
        <v>2.66666666666667</v>
      </c>
      <c r="U43" s="42">
        <f t="shared" si="3"/>
        <v>4.375</v>
      </c>
      <c r="W43" s="28">
        <v>7</v>
      </c>
      <c r="X43" s="26">
        <v>7</v>
      </c>
      <c r="Y43" s="26">
        <v>3</v>
      </c>
      <c r="Z43" s="26">
        <v>4</v>
      </c>
      <c r="AA43" s="26">
        <v>5</v>
      </c>
      <c r="AB43" s="26">
        <v>5</v>
      </c>
      <c r="AC43" s="27">
        <f t="shared" si="4"/>
        <v>5</v>
      </c>
      <c r="AD43" s="26">
        <v>3</v>
      </c>
      <c r="AE43" s="26">
        <v>3</v>
      </c>
      <c r="AF43" s="26">
        <v>2</v>
      </c>
      <c r="AG43" s="26">
        <v>5</v>
      </c>
      <c r="AH43" s="27">
        <f t="shared" si="5"/>
        <v>4</v>
      </c>
      <c r="AI43" s="26">
        <v>5</v>
      </c>
      <c r="AJ43" s="26">
        <v>3</v>
      </c>
      <c r="AK43" s="26">
        <v>4</v>
      </c>
      <c r="AL43" s="26">
        <v>1</v>
      </c>
      <c r="AM43" s="27">
        <f t="shared" si="6"/>
        <v>2.5</v>
      </c>
      <c r="AN43" s="42">
        <f t="shared" si="7"/>
        <v>4.14285714285714</v>
      </c>
      <c r="AP43" s="41">
        <v>2</v>
      </c>
      <c r="AQ43" s="26">
        <v>1</v>
      </c>
      <c r="AR43" s="26">
        <v>2</v>
      </c>
      <c r="AS43" s="26">
        <v>4</v>
      </c>
      <c r="AT43" s="27">
        <f t="shared" si="8"/>
        <v>2.25</v>
      </c>
      <c r="AU43" s="26">
        <v>4</v>
      </c>
      <c r="AV43" s="26">
        <v>5</v>
      </c>
      <c r="AW43" s="26">
        <v>5</v>
      </c>
      <c r="AX43" s="26">
        <v>5</v>
      </c>
      <c r="AY43" s="27">
        <f t="shared" si="9"/>
        <v>4.75</v>
      </c>
      <c r="AZ43" s="42">
        <f t="shared" si="10"/>
        <v>3.5</v>
      </c>
      <c r="BB43" s="41">
        <v>5</v>
      </c>
      <c r="BC43" s="26">
        <v>5</v>
      </c>
      <c r="BD43" s="26">
        <v>2</v>
      </c>
      <c r="BE43" s="26">
        <v>5</v>
      </c>
      <c r="BF43" s="27">
        <f t="shared" si="11"/>
        <v>5</v>
      </c>
      <c r="BG43" s="26">
        <v>4</v>
      </c>
      <c r="BH43" s="26">
        <v>3</v>
      </c>
      <c r="BI43" s="26">
        <v>6</v>
      </c>
      <c r="BJ43" s="27">
        <f t="shared" si="12"/>
        <v>2.66666666666667</v>
      </c>
      <c r="BK43" s="42">
        <f t="shared" si="13"/>
        <v>4</v>
      </c>
      <c r="BM43" s="41">
        <v>2</v>
      </c>
      <c r="BN43" s="26">
        <v>7</v>
      </c>
      <c r="BO43" s="42">
        <f t="shared" si="14"/>
        <v>9</v>
      </c>
      <c r="BP43" s="41">
        <v>1</v>
      </c>
      <c r="BQ43" s="26">
        <v>5.5</v>
      </c>
      <c r="BR43" s="42">
        <f t="shared" si="15"/>
        <v>6.5</v>
      </c>
      <c r="BS43" s="26">
        <f t="shared" si="16"/>
        <v>-2.5</v>
      </c>
      <c r="BU43" s="46">
        <v>1</v>
      </c>
      <c r="BV43" s="46">
        <v>1</v>
      </c>
      <c r="BW43" s="46">
        <v>1</v>
      </c>
      <c r="BX43" s="46">
        <v>0</v>
      </c>
      <c r="BY43" s="46">
        <v>15</v>
      </c>
      <c r="BZ43" s="46">
        <v>1</v>
      </c>
      <c r="CA43" s="46">
        <v>0</v>
      </c>
      <c r="CB43" s="46">
        <v>1</v>
      </c>
      <c r="CC43" s="46">
        <v>2</v>
      </c>
      <c r="CD43" s="46">
        <v>1</v>
      </c>
      <c r="CE43" s="46">
        <v>0</v>
      </c>
      <c r="CF43" s="46">
        <v>1</v>
      </c>
      <c r="CG43" s="46">
        <v>1</v>
      </c>
      <c r="CH43" s="46">
        <v>2</v>
      </c>
      <c r="CI43" s="46">
        <v>6</v>
      </c>
      <c r="CJ43" s="46">
        <v>271.8052</v>
      </c>
    </row>
    <row r="44" s="26" customFormat="1" ht="14.5" spans="1:88">
      <c r="A44" s="26" t="s">
        <v>132</v>
      </c>
      <c r="B44" s="26">
        <v>16</v>
      </c>
      <c r="C44" s="26" t="s">
        <v>91</v>
      </c>
      <c r="D44" s="26" t="s">
        <v>89</v>
      </c>
      <c r="E44" s="26" t="s">
        <v>108</v>
      </c>
      <c r="F44" s="26" t="s">
        <v>86</v>
      </c>
      <c r="G44" s="26" t="s">
        <v>87</v>
      </c>
      <c r="H44" s="26" t="s">
        <v>86</v>
      </c>
      <c r="J44" s="41">
        <v>2</v>
      </c>
      <c r="K44" s="26">
        <v>2</v>
      </c>
      <c r="L44" s="27">
        <f t="shared" si="0"/>
        <v>2</v>
      </c>
      <c r="M44" s="26">
        <v>4</v>
      </c>
      <c r="N44" s="26">
        <v>5</v>
      </c>
      <c r="O44" s="26">
        <v>5</v>
      </c>
      <c r="P44" s="27">
        <f t="shared" si="1"/>
        <v>4.66666666666667</v>
      </c>
      <c r="Q44" s="26">
        <v>1</v>
      </c>
      <c r="R44" s="26">
        <v>1</v>
      </c>
      <c r="S44" s="26">
        <v>1</v>
      </c>
      <c r="T44" s="27">
        <f t="shared" si="2"/>
        <v>1</v>
      </c>
      <c r="U44" s="42">
        <f t="shared" si="3"/>
        <v>2.625</v>
      </c>
      <c r="W44" s="28">
        <v>7</v>
      </c>
      <c r="X44" s="26">
        <v>7</v>
      </c>
      <c r="Y44" s="26">
        <v>4</v>
      </c>
      <c r="Z44" s="26">
        <v>1</v>
      </c>
      <c r="AA44" s="26">
        <v>7</v>
      </c>
      <c r="AB44" s="26">
        <v>7</v>
      </c>
      <c r="AC44" s="27">
        <f t="shared" si="4"/>
        <v>5</v>
      </c>
      <c r="AD44" s="26">
        <v>4</v>
      </c>
      <c r="AE44" s="26">
        <v>2</v>
      </c>
      <c r="AF44" s="26">
        <v>2</v>
      </c>
      <c r="AG44" s="26">
        <v>5</v>
      </c>
      <c r="AH44" s="27">
        <f t="shared" si="5"/>
        <v>4</v>
      </c>
      <c r="AI44" s="26">
        <v>2</v>
      </c>
      <c r="AJ44" s="26">
        <v>6</v>
      </c>
      <c r="AK44" s="26">
        <v>6</v>
      </c>
      <c r="AL44" s="26">
        <v>1</v>
      </c>
      <c r="AM44" s="27">
        <f t="shared" si="6"/>
        <v>4.5</v>
      </c>
      <c r="AN44" s="42">
        <f t="shared" si="7"/>
        <v>4.71428571428571</v>
      </c>
      <c r="AP44" s="41">
        <v>6</v>
      </c>
      <c r="AQ44" s="26">
        <v>6</v>
      </c>
      <c r="AR44" s="26">
        <v>6</v>
      </c>
      <c r="AS44" s="26">
        <v>6</v>
      </c>
      <c r="AT44" s="27">
        <f t="shared" si="8"/>
        <v>6</v>
      </c>
      <c r="AU44" s="26">
        <v>6</v>
      </c>
      <c r="AV44" s="26">
        <v>6</v>
      </c>
      <c r="AW44" s="26">
        <v>4</v>
      </c>
      <c r="AX44" s="26">
        <v>6</v>
      </c>
      <c r="AY44" s="27">
        <f t="shared" si="9"/>
        <v>5.5</v>
      </c>
      <c r="AZ44" s="42">
        <f t="shared" si="10"/>
        <v>5.75</v>
      </c>
      <c r="BB44" s="41">
        <v>5</v>
      </c>
      <c r="BC44" s="26">
        <v>6</v>
      </c>
      <c r="BD44" s="26">
        <v>5</v>
      </c>
      <c r="BE44" s="26">
        <v>5</v>
      </c>
      <c r="BF44" s="27">
        <f t="shared" si="11"/>
        <v>4.5</v>
      </c>
      <c r="BG44" s="26">
        <v>5</v>
      </c>
      <c r="BH44" s="26">
        <v>3</v>
      </c>
      <c r="BI44" s="26">
        <v>3</v>
      </c>
      <c r="BJ44" s="27">
        <f t="shared" si="12"/>
        <v>4</v>
      </c>
      <c r="BK44" s="42">
        <f t="shared" si="13"/>
        <v>4.28571428571429</v>
      </c>
      <c r="BM44" s="41">
        <v>1</v>
      </c>
      <c r="BN44" s="26">
        <v>7</v>
      </c>
      <c r="BO44" s="42">
        <f t="shared" si="14"/>
        <v>8</v>
      </c>
      <c r="BP44" s="41">
        <v>0</v>
      </c>
      <c r="BQ44" s="26">
        <v>4</v>
      </c>
      <c r="BR44" s="42">
        <f t="shared" si="15"/>
        <v>4</v>
      </c>
      <c r="BS44" s="26">
        <f t="shared" si="16"/>
        <v>-4</v>
      </c>
      <c r="BU44" s="46">
        <v>1</v>
      </c>
      <c r="BV44" s="46">
        <v>1</v>
      </c>
      <c r="BW44" s="46">
        <v>1</v>
      </c>
      <c r="BX44" s="46">
        <v>3</v>
      </c>
      <c r="BY44" s="46">
        <v>18</v>
      </c>
      <c r="BZ44" s="46">
        <v>1</v>
      </c>
      <c r="CA44" s="46">
        <v>0</v>
      </c>
      <c r="CB44" s="46">
        <v>1</v>
      </c>
      <c r="CC44" s="46">
        <v>1</v>
      </c>
      <c r="CD44" s="46">
        <v>3</v>
      </c>
      <c r="CE44" s="46">
        <v>0</v>
      </c>
      <c r="CF44" s="46">
        <v>1</v>
      </c>
      <c r="CG44" s="46">
        <v>2</v>
      </c>
      <c r="CH44" s="46">
        <v>4</v>
      </c>
      <c r="CI44" s="46">
        <v>9</v>
      </c>
      <c r="CJ44" s="46">
        <v>244.5859</v>
      </c>
    </row>
    <row r="45" ht="14.5" spans="1:88">
      <c r="A45" t="s">
        <v>133</v>
      </c>
      <c r="B45">
        <v>16</v>
      </c>
      <c r="C45" t="s">
        <v>83</v>
      </c>
      <c r="D45" t="s">
        <v>84</v>
      </c>
      <c r="E45" t="s">
        <v>85</v>
      </c>
      <c r="F45" t="s">
        <v>87</v>
      </c>
      <c r="G45" t="s">
        <v>87</v>
      </c>
      <c r="H45" t="s">
        <v>87</v>
      </c>
      <c r="J45" s="7">
        <v>2</v>
      </c>
      <c r="K45">
        <v>2</v>
      </c>
      <c r="L45" s="27">
        <f t="shared" si="0"/>
        <v>2</v>
      </c>
      <c r="M45">
        <v>6</v>
      </c>
      <c r="N45">
        <v>6</v>
      </c>
      <c r="O45">
        <v>6</v>
      </c>
      <c r="P45" s="27">
        <f t="shared" si="1"/>
        <v>6</v>
      </c>
      <c r="Q45">
        <v>2</v>
      </c>
      <c r="R45">
        <v>2</v>
      </c>
      <c r="S45">
        <v>2</v>
      </c>
      <c r="T45" s="27">
        <f t="shared" si="2"/>
        <v>2</v>
      </c>
      <c r="U45" s="8">
        <f t="shared" si="3"/>
        <v>3.5</v>
      </c>
      <c r="W45" s="28">
        <v>5</v>
      </c>
      <c r="X45">
        <v>4</v>
      </c>
      <c r="Y45">
        <v>3</v>
      </c>
      <c r="Z45">
        <v>3</v>
      </c>
      <c r="AA45">
        <v>5</v>
      </c>
      <c r="AB45">
        <v>5</v>
      </c>
      <c r="AC45" s="27">
        <f t="shared" si="4"/>
        <v>4.2</v>
      </c>
      <c r="AD45">
        <v>7</v>
      </c>
      <c r="AE45">
        <v>1</v>
      </c>
      <c r="AF45">
        <v>4</v>
      </c>
      <c r="AG45">
        <v>4</v>
      </c>
      <c r="AH45" s="27">
        <f t="shared" si="5"/>
        <v>3.75</v>
      </c>
      <c r="AI45">
        <v>3</v>
      </c>
      <c r="AJ45">
        <v>5</v>
      </c>
      <c r="AK45">
        <v>4</v>
      </c>
      <c r="AL45">
        <v>2</v>
      </c>
      <c r="AM45" s="27">
        <f t="shared" si="6"/>
        <v>3.75</v>
      </c>
      <c r="AN45" s="8">
        <f t="shared" si="7"/>
        <v>4</v>
      </c>
      <c r="AP45" s="7">
        <v>3</v>
      </c>
      <c r="AQ45">
        <v>4</v>
      </c>
      <c r="AR45">
        <v>5</v>
      </c>
      <c r="AS45">
        <v>5</v>
      </c>
      <c r="AT45" s="27">
        <f t="shared" si="8"/>
        <v>4.25</v>
      </c>
      <c r="AU45">
        <v>4</v>
      </c>
      <c r="AV45">
        <v>5</v>
      </c>
      <c r="AW45">
        <v>5</v>
      </c>
      <c r="AX45">
        <v>5</v>
      </c>
      <c r="AY45" s="27">
        <f t="shared" si="9"/>
        <v>4.75</v>
      </c>
      <c r="AZ45" s="8">
        <f t="shared" si="10"/>
        <v>4.5</v>
      </c>
      <c r="BB45" s="7">
        <v>5</v>
      </c>
      <c r="BC45">
        <v>5</v>
      </c>
      <c r="BD45">
        <v>2</v>
      </c>
      <c r="BE45">
        <v>7</v>
      </c>
      <c r="BF45" s="27">
        <f t="shared" si="11"/>
        <v>5.5</v>
      </c>
      <c r="BG45">
        <v>7</v>
      </c>
      <c r="BH45">
        <v>6</v>
      </c>
      <c r="BI45">
        <v>1</v>
      </c>
      <c r="BJ45" s="27">
        <f t="shared" si="12"/>
        <v>6.33333333333333</v>
      </c>
      <c r="BK45" s="8">
        <f t="shared" si="13"/>
        <v>5.85714285714286</v>
      </c>
      <c r="BM45" s="7">
        <v>2</v>
      </c>
      <c r="BN45">
        <v>7</v>
      </c>
      <c r="BO45" s="8">
        <f t="shared" si="14"/>
        <v>9</v>
      </c>
      <c r="BP45" s="7">
        <v>2</v>
      </c>
      <c r="BQ45">
        <v>7</v>
      </c>
      <c r="BR45" s="8">
        <f t="shared" si="15"/>
        <v>9</v>
      </c>
      <c r="BS45">
        <f t="shared" si="16"/>
        <v>0</v>
      </c>
      <c r="BU45" s="2">
        <v>1</v>
      </c>
      <c r="BV45" s="2">
        <v>1</v>
      </c>
      <c r="BW45" s="2">
        <v>1</v>
      </c>
      <c r="BX45" s="2">
        <v>0</v>
      </c>
      <c r="BY45" s="2">
        <v>15</v>
      </c>
      <c r="BZ45" s="2">
        <v>1</v>
      </c>
      <c r="CA45" s="2">
        <v>0</v>
      </c>
      <c r="CB45" s="2">
        <v>0</v>
      </c>
      <c r="CC45" s="2">
        <v>1</v>
      </c>
      <c r="CD45" s="2">
        <v>1</v>
      </c>
      <c r="CE45" s="2">
        <v>0</v>
      </c>
      <c r="CF45" s="2">
        <v>0</v>
      </c>
      <c r="CG45" s="2">
        <v>1</v>
      </c>
      <c r="CH45" s="2">
        <v>2</v>
      </c>
      <c r="CI45" s="2">
        <v>13</v>
      </c>
      <c r="CJ45" s="2">
        <v>316.2534</v>
      </c>
    </row>
    <row r="46" ht="14.5" spans="1:88">
      <c r="A46" t="s">
        <v>134</v>
      </c>
      <c r="B46">
        <v>16</v>
      </c>
      <c r="C46" t="s">
        <v>83</v>
      </c>
      <c r="D46" t="s">
        <v>84</v>
      </c>
      <c r="E46" t="s">
        <v>85</v>
      </c>
      <c r="F46" t="s">
        <v>87</v>
      </c>
      <c r="G46" t="s">
        <v>87</v>
      </c>
      <c r="H46" t="s">
        <v>86</v>
      </c>
      <c r="J46" s="7">
        <v>4</v>
      </c>
      <c r="K46">
        <v>3</v>
      </c>
      <c r="L46" s="27">
        <f t="shared" si="0"/>
        <v>3.5</v>
      </c>
      <c r="M46">
        <v>5</v>
      </c>
      <c r="N46">
        <v>7</v>
      </c>
      <c r="O46">
        <v>7</v>
      </c>
      <c r="P46" s="27">
        <f t="shared" si="1"/>
        <v>6.33333333333333</v>
      </c>
      <c r="Q46">
        <v>2</v>
      </c>
      <c r="R46">
        <v>2</v>
      </c>
      <c r="S46">
        <v>3</v>
      </c>
      <c r="T46" s="27">
        <f t="shared" si="2"/>
        <v>2.33333333333333</v>
      </c>
      <c r="U46" s="8">
        <f t="shared" si="3"/>
        <v>4.125</v>
      </c>
      <c r="W46" s="28">
        <v>6</v>
      </c>
      <c r="X46">
        <v>6</v>
      </c>
      <c r="Y46">
        <v>4</v>
      </c>
      <c r="Z46">
        <v>2</v>
      </c>
      <c r="AA46">
        <v>3</v>
      </c>
      <c r="AB46">
        <v>4</v>
      </c>
      <c r="AC46" s="27">
        <f t="shared" si="4"/>
        <v>3.6</v>
      </c>
      <c r="AD46">
        <v>5</v>
      </c>
      <c r="AE46">
        <v>5</v>
      </c>
      <c r="AF46">
        <v>3</v>
      </c>
      <c r="AG46">
        <v>5</v>
      </c>
      <c r="AH46" s="27">
        <f t="shared" si="5"/>
        <v>4.75</v>
      </c>
      <c r="AI46">
        <v>6</v>
      </c>
      <c r="AJ46">
        <v>6</v>
      </c>
      <c r="AK46">
        <v>4</v>
      </c>
      <c r="AL46">
        <v>2</v>
      </c>
      <c r="AM46" s="27">
        <f t="shared" si="6"/>
        <v>3.25</v>
      </c>
      <c r="AN46" s="8">
        <f t="shared" si="7"/>
        <v>4</v>
      </c>
      <c r="AP46" s="7">
        <v>3</v>
      </c>
      <c r="AQ46">
        <v>4</v>
      </c>
      <c r="AR46">
        <v>5</v>
      </c>
      <c r="AS46">
        <v>5</v>
      </c>
      <c r="AT46" s="27">
        <f t="shared" si="8"/>
        <v>4.25</v>
      </c>
      <c r="AU46">
        <v>5</v>
      </c>
      <c r="AV46">
        <v>5</v>
      </c>
      <c r="AW46">
        <v>5</v>
      </c>
      <c r="AX46">
        <v>5</v>
      </c>
      <c r="AY46" s="27">
        <f t="shared" si="9"/>
        <v>5</v>
      </c>
      <c r="AZ46" s="8">
        <f t="shared" si="10"/>
        <v>4.625</v>
      </c>
      <c r="BB46" s="7">
        <v>5</v>
      </c>
      <c r="BC46">
        <v>5</v>
      </c>
      <c r="BD46">
        <v>2</v>
      </c>
      <c r="BE46">
        <v>7</v>
      </c>
      <c r="BF46" s="27">
        <f t="shared" si="11"/>
        <v>5.5</v>
      </c>
      <c r="BG46">
        <v>7</v>
      </c>
      <c r="BH46">
        <v>4</v>
      </c>
      <c r="BI46">
        <v>1</v>
      </c>
      <c r="BJ46" s="27">
        <f t="shared" si="12"/>
        <v>5.66666666666667</v>
      </c>
      <c r="BK46" s="8">
        <f t="shared" si="13"/>
        <v>5.57142857142857</v>
      </c>
      <c r="BM46" s="7">
        <v>1.5</v>
      </c>
      <c r="BN46">
        <v>6.5</v>
      </c>
      <c r="BO46" s="8">
        <f t="shared" si="14"/>
        <v>8</v>
      </c>
      <c r="BP46" s="7">
        <v>2</v>
      </c>
      <c r="BQ46">
        <v>7</v>
      </c>
      <c r="BR46" s="8">
        <f t="shared" si="15"/>
        <v>9</v>
      </c>
      <c r="BS46">
        <f t="shared" si="16"/>
        <v>1</v>
      </c>
      <c r="BU46" s="2">
        <v>3</v>
      </c>
      <c r="BV46" s="2">
        <v>3</v>
      </c>
      <c r="BW46" s="2">
        <v>2</v>
      </c>
      <c r="BX46" s="2">
        <v>1</v>
      </c>
      <c r="BY46" s="2">
        <v>16</v>
      </c>
      <c r="BZ46" s="2">
        <v>4</v>
      </c>
      <c r="CA46" s="2">
        <v>1</v>
      </c>
      <c r="CB46" s="2">
        <v>1</v>
      </c>
      <c r="CC46" s="2">
        <v>2</v>
      </c>
      <c r="CD46" s="2">
        <v>4</v>
      </c>
      <c r="CE46" s="2">
        <v>1</v>
      </c>
      <c r="CF46" s="2">
        <v>1</v>
      </c>
      <c r="CG46" s="2">
        <v>2</v>
      </c>
      <c r="CH46" s="2">
        <v>6</v>
      </c>
      <c r="CI46" s="2">
        <v>22</v>
      </c>
      <c r="CJ46" s="2">
        <v>240.9741</v>
      </c>
    </row>
    <row r="47" s="26" customFormat="1" ht="14.5" spans="1:88">
      <c r="A47" s="26" t="s">
        <v>135</v>
      </c>
      <c r="B47" s="26">
        <v>15</v>
      </c>
      <c r="C47" s="26" t="s">
        <v>91</v>
      </c>
      <c r="D47" s="26" t="s">
        <v>89</v>
      </c>
      <c r="E47" s="26" t="s">
        <v>108</v>
      </c>
      <c r="F47" s="26" t="s">
        <v>86</v>
      </c>
      <c r="G47" s="26" t="s">
        <v>87</v>
      </c>
      <c r="H47" s="26" t="s">
        <v>86</v>
      </c>
      <c r="J47" s="41">
        <v>6</v>
      </c>
      <c r="K47" s="26">
        <v>6</v>
      </c>
      <c r="L47" s="27">
        <f t="shared" si="0"/>
        <v>6</v>
      </c>
      <c r="M47" s="26">
        <v>6</v>
      </c>
      <c r="N47" s="26">
        <v>6</v>
      </c>
      <c r="O47" s="26">
        <v>6</v>
      </c>
      <c r="P47" s="27">
        <f t="shared" si="1"/>
        <v>6</v>
      </c>
      <c r="Q47" s="26">
        <v>6</v>
      </c>
      <c r="R47" s="26">
        <v>6</v>
      </c>
      <c r="S47" s="26">
        <v>6</v>
      </c>
      <c r="T47" s="27">
        <f t="shared" si="2"/>
        <v>6</v>
      </c>
      <c r="U47" s="42">
        <f t="shared" si="3"/>
        <v>6</v>
      </c>
      <c r="W47" s="28">
        <v>7</v>
      </c>
      <c r="X47" s="26">
        <v>7</v>
      </c>
      <c r="Y47" s="26">
        <v>7</v>
      </c>
      <c r="Z47" s="26">
        <v>7</v>
      </c>
      <c r="AA47" s="26">
        <v>7</v>
      </c>
      <c r="AB47" s="26">
        <v>7</v>
      </c>
      <c r="AC47" s="27">
        <f t="shared" si="4"/>
        <v>5.6</v>
      </c>
      <c r="AD47" s="26">
        <v>7</v>
      </c>
      <c r="AE47" s="26">
        <v>7</v>
      </c>
      <c r="AF47" s="26">
        <v>7</v>
      </c>
      <c r="AG47" s="26">
        <v>3</v>
      </c>
      <c r="AH47" s="27">
        <f t="shared" si="5"/>
        <v>4.25</v>
      </c>
      <c r="AI47" s="26">
        <v>4</v>
      </c>
      <c r="AJ47" s="26">
        <v>5</v>
      </c>
      <c r="AK47" s="26">
        <v>1</v>
      </c>
      <c r="AL47" s="26">
        <v>1</v>
      </c>
      <c r="AM47" s="27">
        <f t="shared" si="6"/>
        <v>2.5</v>
      </c>
      <c r="AN47" s="42">
        <f t="shared" si="7"/>
        <v>4.42857142857143</v>
      </c>
      <c r="AP47" s="41">
        <v>3</v>
      </c>
      <c r="AQ47" s="26">
        <v>4</v>
      </c>
      <c r="AR47" s="26">
        <v>3</v>
      </c>
      <c r="AS47" s="26">
        <v>5</v>
      </c>
      <c r="AT47" s="27">
        <f t="shared" si="8"/>
        <v>3.75</v>
      </c>
      <c r="AU47" s="26">
        <v>6</v>
      </c>
      <c r="AV47" s="26">
        <v>4</v>
      </c>
      <c r="AW47" s="26">
        <v>2</v>
      </c>
      <c r="AX47" s="26">
        <v>5</v>
      </c>
      <c r="AY47" s="27">
        <f t="shared" si="9"/>
        <v>4.25</v>
      </c>
      <c r="AZ47" s="42">
        <f t="shared" si="10"/>
        <v>4</v>
      </c>
      <c r="BB47" s="41">
        <v>3</v>
      </c>
      <c r="BC47" s="26">
        <v>5</v>
      </c>
      <c r="BD47" s="26">
        <v>3</v>
      </c>
      <c r="BE47" s="26">
        <v>4</v>
      </c>
      <c r="BF47" s="27">
        <f t="shared" si="11"/>
        <v>4</v>
      </c>
      <c r="BG47" s="26">
        <v>6</v>
      </c>
      <c r="BH47" s="26">
        <v>1</v>
      </c>
      <c r="BI47" s="26">
        <v>7</v>
      </c>
      <c r="BJ47" s="27">
        <f t="shared" si="12"/>
        <v>2.33333333333333</v>
      </c>
      <c r="BK47" s="42">
        <f t="shared" si="13"/>
        <v>3.28571428571429</v>
      </c>
      <c r="BM47" s="41">
        <v>0.5</v>
      </c>
      <c r="BN47" s="26">
        <v>1.5</v>
      </c>
      <c r="BO47" s="42">
        <f t="shared" si="14"/>
        <v>2</v>
      </c>
      <c r="BP47" s="41">
        <v>0.5</v>
      </c>
      <c r="BQ47" s="26">
        <v>4</v>
      </c>
      <c r="BR47" s="42">
        <f t="shared" si="15"/>
        <v>4.5</v>
      </c>
      <c r="BS47" s="26">
        <f t="shared" si="16"/>
        <v>2.5</v>
      </c>
      <c r="BU47" s="46">
        <v>1</v>
      </c>
      <c r="BV47" s="46">
        <v>1</v>
      </c>
      <c r="BW47" s="46">
        <v>1</v>
      </c>
      <c r="BX47" s="46">
        <v>0</v>
      </c>
      <c r="BY47" s="46">
        <v>15</v>
      </c>
      <c r="BZ47" s="46">
        <v>1</v>
      </c>
      <c r="CA47" s="46">
        <v>0</v>
      </c>
      <c r="CB47" s="46">
        <v>1</v>
      </c>
      <c r="CC47" s="46">
        <v>2</v>
      </c>
      <c r="CD47" s="46">
        <v>0</v>
      </c>
      <c r="CE47" s="46">
        <v>0</v>
      </c>
      <c r="CF47" s="46">
        <v>1</v>
      </c>
      <c r="CG47" s="46">
        <v>1</v>
      </c>
      <c r="CH47" s="46">
        <v>2</v>
      </c>
      <c r="CI47" s="46">
        <v>8</v>
      </c>
      <c r="CJ47" s="46">
        <v>237.1131</v>
      </c>
    </row>
    <row r="48" s="26" customFormat="1" ht="14.5" spans="1:88">
      <c r="A48" s="26" t="s">
        <v>136</v>
      </c>
      <c r="B48" s="26">
        <v>14</v>
      </c>
      <c r="C48" s="26" t="s">
        <v>91</v>
      </c>
      <c r="D48" s="26" t="s">
        <v>89</v>
      </c>
      <c r="E48" s="26" t="s">
        <v>85</v>
      </c>
      <c r="F48" s="26" t="s">
        <v>86</v>
      </c>
      <c r="G48" s="26" t="s">
        <v>87</v>
      </c>
      <c r="H48" s="26" t="s">
        <v>86</v>
      </c>
      <c r="J48" s="41">
        <v>2</v>
      </c>
      <c r="K48" s="26">
        <v>2</v>
      </c>
      <c r="L48" s="27">
        <f t="shared" si="0"/>
        <v>2</v>
      </c>
      <c r="M48" s="26">
        <v>3</v>
      </c>
      <c r="N48" s="26">
        <v>2</v>
      </c>
      <c r="O48" s="26">
        <v>5</v>
      </c>
      <c r="P48" s="27">
        <f t="shared" si="1"/>
        <v>3.33333333333333</v>
      </c>
      <c r="Q48" s="26">
        <v>2</v>
      </c>
      <c r="R48" s="26">
        <v>2</v>
      </c>
      <c r="S48" s="26">
        <v>2</v>
      </c>
      <c r="T48" s="27">
        <f t="shared" si="2"/>
        <v>2</v>
      </c>
      <c r="U48" s="42">
        <f t="shared" si="3"/>
        <v>2.5</v>
      </c>
      <c r="W48" s="28">
        <v>6</v>
      </c>
      <c r="X48" s="26">
        <v>6</v>
      </c>
      <c r="Y48" s="26">
        <v>4</v>
      </c>
      <c r="Z48" s="26">
        <v>6</v>
      </c>
      <c r="AA48" s="26">
        <v>4</v>
      </c>
      <c r="AB48" s="26">
        <v>5</v>
      </c>
      <c r="AC48" s="27">
        <f t="shared" si="4"/>
        <v>4.8</v>
      </c>
      <c r="AD48" s="26">
        <v>4</v>
      </c>
      <c r="AE48" s="26">
        <v>4</v>
      </c>
      <c r="AF48" s="26">
        <v>6</v>
      </c>
      <c r="AG48" s="26">
        <v>2</v>
      </c>
      <c r="AH48" s="27">
        <f t="shared" si="5"/>
        <v>2.75</v>
      </c>
      <c r="AI48" s="26">
        <v>4</v>
      </c>
      <c r="AJ48" s="26">
        <v>6</v>
      </c>
      <c r="AK48" s="26">
        <v>5</v>
      </c>
      <c r="AL48" s="26">
        <v>4</v>
      </c>
      <c r="AM48" s="27">
        <f t="shared" si="6"/>
        <v>4.5</v>
      </c>
      <c r="AN48" s="42">
        <f t="shared" si="7"/>
        <v>4.21428571428571</v>
      </c>
      <c r="AP48" s="41">
        <v>2</v>
      </c>
      <c r="AQ48" s="26">
        <v>5</v>
      </c>
      <c r="AR48" s="26">
        <v>4</v>
      </c>
      <c r="AS48" s="26">
        <v>3</v>
      </c>
      <c r="AT48" s="27">
        <f t="shared" si="8"/>
        <v>3.5</v>
      </c>
      <c r="AU48" s="26">
        <v>2</v>
      </c>
      <c r="AV48" s="26">
        <v>4</v>
      </c>
      <c r="AW48" s="26">
        <v>4</v>
      </c>
      <c r="AX48" s="26">
        <v>5</v>
      </c>
      <c r="AY48" s="27">
        <f t="shared" si="9"/>
        <v>3.75</v>
      </c>
      <c r="AZ48" s="42">
        <f t="shared" si="10"/>
        <v>3.625</v>
      </c>
      <c r="BB48" s="41">
        <v>6</v>
      </c>
      <c r="BC48" s="26">
        <v>5</v>
      </c>
      <c r="BD48" s="26">
        <v>4</v>
      </c>
      <c r="BE48" s="26">
        <v>3</v>
      </c>
      <c r="BF48" s="27">
        <f t="shared" si="11"/>
        <v>4.25</v>
      </c>
      <c r="BG48" s="26">
        <v>4</v>
      </c>
      <c r="BH48" s="26">
        <v>6</v>
      </c>
      <c r="BI48" s="26">
        <v>2</v>
      </c>
      <c r="BJ48" s="27">
        <f t="shared" si="12"/>
        <v>5</v>
      </c>
      <c r="BK48" s="42">
        <f t="shared" si="13"/>
        <v>4.57142857142857</v>
      </c>
      <c r="BM48" s="41">
        <v>1.5</v>
      </c>
      <c r="BN48" s="26">
        <v>7</v>
      </c>
      <c r="BO48" s="42">
        <f t="shared" si="14"/>
        <v>8.5</v>
      </c>
      <c r="BP48" s="41">
        <v>2</v>
      </c>
      <c r="BQ48" s="26">
        <v>6</v>
      </c>
      <c r="BR48" s="42">
        <f t="shared" si="15"/>
        <v>8</v>
      </c>
      <c r="BS48" s="26">
        <f t="shared" si="16"/>
        <v>-0.5</v>
      </c>
      <c r="BU48" s="46">
        <v>1</v>
      </c>
      <c r="BV48" s="46">
        <v>1</v>
      </c>
      <c r="BW48" s="46">
        <v>1</v>
      </c>
      <c r="BX48" s="46">
        <v>0</v>
      </c>
      <c r="BY48" s="46">
        <v>15</v>
      </c>
      <c r="BZ48" s="46">
        <v>1</v>
      </c>
      <c r="CA48" s="46">
        <v>0</v>
      </c>
      <c r="CB48" s="46">
        <v>1</v>
      </c>
      <c r="CC48" s="46">
        <v>3</v>
      </c>
      <c r="CD48" s="46">
        <v>1</v>
      </c>
      <c r="CE48" s="46">
        <v>0</v>
      </c>
      <c r="CF48" s="46">
        <v>2</v>
      </c>
      <c r="CG48" s="46">
        <v>3</v>
      </c>
      <c r="CH48" s="46">
        <v>4</v>
      </c>
      <c r="CI48" s="46">
        <v>19</v>
      </c>
      <c r="CJ48" s="46">
        <v>357.4141</v>
      </c>
    </row>
    <row r="49" ht="14.5" spans="1:88">
      <c r="A49" t="s">
        <v>137</v>
      </c>
      <c r="B49">
        <v>14</v>
      </c>
      <c r="C49" t="s">
        <v>91</v>
      </c>
      <c r="D49" t="s">
        <v>84</v>
      </c>
      <c r="E49" t="s">
        <v>108</v>
      </c>
      <c r="F49" t="s">
        <v>86</v>
      </c>
      <c r="G49" t="s">
        <v>87</v>
      </c>
      <c r="H49" t="s">
        <v>86</v>
      </c>
      <c r="J49" s="7">
        <v>6</v>
      </c>
      <c r="K49">
        <v>5</v>
      </c>
      <c r="L49" s="27">
        <f t="shared" si="0"/>
        <v>5.5</v>
      </c>
      <c r="M49">
        <v>5</v>
      </c>
      <c r="N49">
        <v>6</v>
      </c>
      <c r="O49">
        <v>7</v>
      </c>
      <c r="P49" s="27">
        <f t="shared" si="1"/>
        <v>6</v>
      </c>
      <c r="Q49">
        <v>4</v>
      </c>
      <c r="R49">
        <v>3</v>
      </c>
      <c r="S49">
        <v>2</v>
      </c>
      <c r="T49" s="27">
        <f t="shared" si="2"/>
        <v>3</v>
      </c>
      <c r="U49" s="8">
        <f t="shared" si="3"/>
        <v>4.75</v>
      </c>
      <c r="W49" s="28">
        <v>7</v>
      </c>
      <c r="X49">
        <v>7</v>
      </c>
      <c r="Y49">
        <v>5</v>
      </c>
      <c r="Z49">
        <v>3</v>
      </c>
      <c r="AA49">
        <v>7</v>
      </c>
      <c r="AB49">
        <v>7</v>
      </c>
      <c r="AC49" s="27">
        <f t="shared" si="4"/>
        <v>5.2</v>
      </c>
      <c r="AD49">
        <v>5</v>
      </c>
      <c r="AE49">
        <v>3</v>
      </c>
      <c r="AF49">
        <v>6</v>
      </c>
      <c r="AG49">
        <v>5</v>
      </c>
      <c r="AH49" s="27">
        <f t="shared" si="5"/>
        <v>3.5</v>
      </c>
      <c r="AI49">
        <v>2</v>
      </c>
      <c r="AJ49">
        <v>4</v>
      </c>
      <c r="AK49">
        <v>2</v>
      </c>
      <c r="AL49">
        <v>6</v>
      </c>
      <c r="AM49" s="27">
        <f t="shared" si="6"/>
        <v>4.25</v>
      </c>
      <c r="AN49" s="8">
        <f t="shared" si="7"/>
        <v>4.57142857142857</v>
      </c>
      <c r="AP49" s="7">
        <v>6</v>
      </c>
      <c r="AQ49">
        <v>6</v>
      </c>
      <c r="AR49">
        <v>6</v>
      </c>
      <c r="AS49">
        <v>6</v>
      </c>
      <c r="AT49" s="27">
        <f t="shared" si="8"/>
        <v>6</v>
      </c>
      <c r="AU49">
        <v>7</v>
      </c>
      <c r="AV49">
        <v>6</v>
      </c>
      <c r="AW49">
        <v>5</v>
      </c>
      <c r="AX49">
        <v>6</v>
      </c>
      <c r="AY49" s="27">
        <f t="shared" si="9"/>
        <v>6</v>
      </c>
      <c r="AZ49" s="8">
        <f t="shared" si="10"/>
        <v>6</v>
      </c>
      <c r="BB49" s="7">
        <v>7</v>
      </c>
      <c r="BC49">
        <v>6</v>
      </c>
      <c r="BD49">
        <v>7</v>
      </c>
      <c r="BE49">
        <v>6</v>
      </c>
      <c r="BF49" s="27">
        <f t="shared" si="11"/>
        <v>4.75</v>
      </c>
      <c r="BG49">
        <v>7</v>
      </c>
      <c r="BH49">
        <v>5</v>
      </c>
      <c r="BI49">
        <v>7</v>
      </c>
      <c r="BJ49" s="27">
        <f t="shared" si="12"/>
        <v>4</v>
      </c>
      <c r="BK49" s="8">
        <f t="shared" si="13"/>
        <v>4.42857142857143</v>
      </c>
      <c r="BM49" s="7">
        <v>1</v>
      </c>
      <c r="BN49">
        <v>5</v>
      </c>
      <c r="BO49" s="8">
        <f t="shared" si="14"/>
        <v>6</v>
      </c>
      <c r="BP49" s="7">
        <v>1</v>
      </c>
      <c r="BQ49">
        <v>2</v>
      </c>
      <c r="BR49" s="8">
        <f t="shared" si="15"/>
        <v>3</v>
      </c>
      <c r="BS49">
        <f t="shared" si="16"/>
        <v>-3</v>
      </c>
      <c r="BU49" s="53">
        <v>1</v>
      </c>
      <c r="BV49" s="53">
        <v>1</v>
      </c>
      <c r="BW49" s="53">
        <v>1</v>
      </c>
      <c r="BX49" s="53">
        <v>0</v>
      </c>
      <c r="BY49" s="53">
        <v>15</v>
      </c>
      <c r="BZ49" s="53">
        <v>1</v>
      </c>
      <c r="CA49" s="53">
        <v>0</v>
      </c>
      <c r="CB49" s="53">
        <v>1</v>
      </c>
      <c r="CC49" s="53">
        <v>3</v>
      </c>
      <c r="CD49" s="53">
        <v>1</v>
      </c>
      <c r="CE49" s="53">
        <v>0</v>
      </c>
      <c r="CF49" s="53">
        <v>2</v>
      </c>
      <c r="CG49" s="53">
        <v>3</v>
      </c>
      <c r="CH49" s="53">
        <v>4</v>
      </c>
      <c r="CI49" s="53">
        <v>19</v>
      </c>
      <c r="CJ49" s="53">
        <v>357.4141</v>
      </c>
    </row>
  </sheetData>
  <autoFilter xmlns:etc="http://www.wps.cn/officeDocument/2017/etCustomData" ref="A1:H49" etc:filterBottomFollowUsedRange="0">
    <extLst/>
  </autoFilter>
  <dataValidations count="6">
    <dataValidation type="list" allowBlank="1" showInputMessage="1" showErrorMessage="1" sqref="H70 F2:H29 G30:H69">
      <formula1>"有,无"</formula1>
    </dataValidation>
    <dataValidation type="list" allowBlank="1" showInputMessage="1" showErrorMessage="1" sqref="B2:B68">
      <formula1>"14,15,16,17,18,20,21,22,23,24"</formula1>
    </dataValidation>
    <dataValidation type="list" allowBlank="1" showInputMessage="1" showErrorMessage="1" sqref="C2:C60">
      <formula1>"男,女"</formula1>
    </dataValidation>
    <dataValidation type="list" allowBlank="1" showInputMessage="1" showErrorMessage="1" sqref="D2:D68">
      <formula1>"实验组,对照组"</formula1>
    </dataValidation>
    <dataValidation type="list" allowBlank="1" showInputMessage="1" showErrorMessage="1" sqref="E2:E70">
      <formula1>"左,右"</formula1>
    </dataValidation>
    <dataValidation type="list" allowBlank="1" showInputMessage="1" showErrorMessage="1" sqref="F30:F70">
      <formula1>"无,有"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48"/>
  <sheetViews>
    <sheetView tabSelected="1" zoomScale="130" zoomScaleNormal="130" workbookViewId="0">
      <pane xSplit="1" ySplit="1" topLeftCell="BS2" activePane="bottomRight" state="frozen"/>
      <selection/>
      <selection pane="topRight"/>
      <selection pane="bottomLeft"/>
      <selection pane="bottomRight" activeCell="CK11" sqref="CK11"/>
    </sheetView>
  </sheetViews>
  <sheetFormatPr defaultColWidth="8.78181818181818" defaultRowHeight="14"/>
  <cols>
    <col min="1" max="1" width="7.55454545454545" customWidth="1"/>
    <col min="2" max="3" width="5.55454545454545" customWidth="1"/>
    <col min="4" max="5" width="7.55454545454545" customWidth="1"/>
    <col min="6" max="6" width="9.55454545454545" customWidth="1"/>
    <col min="7" max="8" width="7.55454545454545" customWidth="1"/>
    <col min="10" max="10" width="6.55454545454545" style="7" customWidth="1"/>
    <col min="11" max="11" width="6.55454545454545" customWidth="1"/>
    <col min="12" max="12" width="6.55454545454545" style="27" customWidth="1"/>
    <col min="13" max="15" width="6.55454545454545" customWidth="1"/>
    <col min="16" max="16" width="6.55454545454545" style="27" customWidth="1"/>
    <col min="17" max="19" width="6.55454545454545" customWidth="1"/>
    <col min="20" max="20" width="6.55454545454545" style="27" customWidth="1"/>
    <col min="21" max="21" width="14" style="8" customWidth="1"/>
    <col min="22" max="22" width="6.55454545454545" customWidth="1"/>
    <col min="23" max="23" width="6.55454545454545" style="28" customWidth="1"/>
    <col min="24" max="28" width="6.55454545454545" customWidth="1"/>
    <col min="29" max="29" width="6.55454545454545" style="27" customWidth="1"/>
    <col min="30" max="32" width="6.55454545454545" customWidth="1"/>
    <col min="33" max="33" width="7.55454545454545" customWidth="1"/>
    <col min="34" max="34" width="7.55454545454545" style="27" customWidth="1"/>
    <col min="35" max="38" width="7.55454545454545" customWidth="1"/>
    <col min="39" max="39" width="7.55454545454545" style="27" customWidth="1"/>
    <col min="40" max="40" width="12.7818181818182" style="8" customWidth="1"/>
    <col min="42" max="42" width="6.55454545454545" style="7" customWidth="1"/>
    <col min="43" max="45" width="6.55454545454545" customWidth="1"/>
    <col min="46" max="46" width="6.55454545454545" style="27" customWidth="1"/>
    <col min="47" max="50" width="6.55454545454545" customWidth="1"/>
    <col min="51" max="51" width="6.55454545454545" style="27" customWidth="1"/>
    <col min="52" max="52" width="11.7818181818182" style="8" customWidth="1"/>
    <col min="53" max="53" width="6.55454545454545" customWidth="1"/>
    <col min="54" max="54" width="6.55454545454545" style="7" customWidth="1"/>
    <col min="55" max="57" width="6.55454545454545" customWidth="1"/>
    <col min="58" max="58" width="6.55454545454545" style="27" customWidth="1"/>
    <col min="59" max="61" width="6.55454545454545" customWidth="1"/>
    <col min="62" max="62" width="6.55454545454545" style="27" customWidth="1"/>
    <col min="63" max="63" width="12.7818181818182" style="8" customWidth="1"/>
    <col min="65" max="65" width="9.55454545454545" style="7" customWidth="1"/>
    <col min="66" max="66" width="9.55454545454545" customWidth="1"/>
    <col min="67" max="67" width="9.55454545454545" style="8" customWidth="1"/>
    <col min="68" max="68" width="9.55454545454545" style="7" customWidth="1"/>
    <col min="69" max="69" width="9.55454545454545" customWidth="1"/>
    <col min="70" max="70" width="9.55454545454545" style="8" customWidth="1"/>
    <col min="71" max="71" width="5.55454545454545" customWidth="1"/>
    <col min="72" max="72" width="6.36363636363636" customWidth="1"/>
    <col min="88" max="88" width="9.54545454545454"/>
  </cols>
  <sheetData>
    <row r="1" ht="13.95" customHeight="1" spans="1:88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J1" s="29" t="s">
        <v>8</v>
      </c>
      <c r="K1" s="30" t="s">
        <v>9</v>
      </c>
      <c r="L1" s="31" t="s">
        <v>10</v>
      </c>
      <c r="M1" s="30" t="s">
        <v>11</v>
      </c>
      <c r="N1" s="30" t="s">
        <v>12</v>
      </c>
      <c r="O1" s="30" t="s">
        <v>13</v>
      </c>
      <c r="P1" s="31" t="s">
        <v>14</v>
      </c>
      <c r="Q1" s="30" t="s">
        <v>15</v>
      </c>
      <c r="R1" s="30" t="s">
        <v>16</v>
      </c>
      <c r="S1" s="30" t="s">
        <v>17</v>
      </c>
      <c r="T1" s="31" t="s">
        <v>18</v>
      </c>
      <c r="U1" s="32" t="s">
        <v>19</v>
      </c>
      <c r="W1" s="28" t="s">
        <v>20</v>
      </c>
      <c r="X1" t="s">
        <v>21</v>
      </c>
      <c r="Y1" s="16" t="s">
        <v>22</v>
      </c>
      <c r="Z1" s="30" t="s">
        <v>23</v>
      </c>
      <c r="AA1" t="s">
        <v>24</v>
      </c>
      <c r="AB1" t="s">
        <v>25</v>
      </c>
      <c r="AC1" s="27" t="s">
        <v>26</v>
      </c>
      <c r="AD1" t="s">
        <v>27</v>
      </c>
      <c r="AE1" t="s">
        <v>28</v>
      </c>
      <c r="AF1" s="16" t="s">
        <v>29</v>
      </c>
      <c r="AG1" t="s">
        <v>30</v>
      </c>
      <c r="AH1" s="27" t="s">
        <v>31</v>
      </c>
      <c r="AI1" s="16" t="s">
        <v>32</v>
      </c>
      <c r="AJ1" t="s">
        <v>33</v>
      </c>
      <c r="AK1" t="s">
        <v>34</v>
      </c>
      <c r="AL1" t="s">
        <v>35</v>
      </c>
      <c r="AM1" s="27" t="s">
        <v>36</v>
      </c>
      <c r="AN1" s="32" t="s">
        <v>37</v>
      </c>
      <c r="AP1" s="7" t="s">
        <v>38</v>
      </c>
      <c r="AQ1" t="s">
        <v>39</v>
      </c>
      <c r="AR1" s="7" t="s">
        <v>40</v>
      </c>
      <c r="AS1" t="s">
        <v>41</v>
      </c>
      <c r="AT1" s="27" t="s">
        <v>42</v>
      </c>
      <c r="AU1" t="s">
        <v>43</v>
      </c>
      <c r="AV1" t="s">
        <v>44</v>
      </c>
      <c r="AW1" t="s">
        <v>45</v>
      </c>
      <c r="AX1" t="s">
        <v>46</v>
      </c>
      <c r="AY1" s="27" t="s">
        <v>47</v>
      </c>
      <c r="AZ1" s="32" t="s">
        <v>48</v>
      </c>
      <c r="BB1" s="7" t="s">
        <v>49</v>
      </c>
      <c r="BC1" t="s">
        <v>50</v>
      </c>
      <c r="BD1" s="15" t="s">
        <v>51</v>
      </c>
      <c r="BE1" t="s">
        <v>52</v>
      </c>
      <c r="BF1" s="27" t="s">
        <v>53</v>
      </c>
      <c r="BG1" t="s">
        <v>54</v>
      </c>
      <c r="BH1" t="s">
        <v>55</v>
      </c>
      <c r="BI1" s="16" t="s">
        <v>56</v>
      </c>
      <c r="BJ1" s="27" t="s">
        <v>57</v>
      </c>
      <c r="BK1" s="32" t="s">
        <v>58</v>
      </c>
      <c r="BM1" s="7" t="s">
        <v>59</v>
      </c>
      <c r="BN1" s="17" t="s">
        <v>60</v>
      </c>
      <c r="BO1" s="32" t="s">
        <v>61</v>
      </c>
      <c r="BP1" s="18" t="s">
        <v>62</v>
      </c>
      <c r="BQ1" t="s">
        <v>63</v>
      </c>
      <c r="BR1" s="32" t="s">
        <v>64</v>
      </c>
      <c r="BS1" s="17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2" t="s">
        <v>80</v>
      </c>
      <c r="CJ1" t="s">
        <v>81</v>
      </c>
    </row>
    <row r="2" ht="14.5" spans="1:88">
      <c r="A2" t="s">
        <v>82</v>
      </c>
      <c r="B2">
        <v>16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86</v>
      </c>
      <c r="J2" s="7">
        <v>4</v>
      </c>
      <c r="K2">
        <v>2</v>
      </c>
      <c r="L2" s="27">
        <f t="shared" ref="L2:L49" si="0">AVERAGE(J2:K2)</f>
        <v>3</v>
      </c>
      <c r="M2">
        <v>5</v>
      </c>
      <c r="N2">
        <v>7</v>
      </c>
      <c r="O2">
        <v>7</v>
      </c>
      <c r="P2" s="27">
        <f t="shared" ref="P2:P49" si="1">AVERAGE(M2:O2)</f>
        <v>6.33333333333333</v>
      </c>
      <c r="Q2">
        <v>4</v>
      </c>
      <c r="R2">
        <v>3</v>
      </c>
      <c r="S2">
        <v>4</v>
      </c>
      <c r="T2" s="27">
        <f t="shared" ref="T2:T49" si="2">AVERAGE(Q2:S2)</f>
        <v>3.66666666666667</v>
      </c>
      <c r="U2" s="8">
        <f t="shared" ref="U2:U49" si="3">AVERAGE(J2:K2,M2:O2,Q2:S2)</f>
        <v>4.5</v>
      </c>
      <c r="W2" s="28">
        <v>7</v>
      </c>
      <c r="X2">
        <v>4</v>
      </c>
      <c r="Y2">
        <v>2</v>
      </c>
      <c r="Z2">
        <v>3</v>
      </c>
      <c r="AA2">
        <v>5</v>
      </c>
      <c r="AB2">
        <v>5</v>
      </c>
      <c r="AC2" s="27">
        <f t="shared" ref="AC2:AC49" si="4">(X2+(7-Y2)+Z2+AA2+AB2)/5</f>
        <v>4.4</v>
      </c>
      <c r="AD2">
        <v>4</v>
      </c>
      <c r="AE2">
        <v>3</v>
      </c>
      <c r="AF2">
        <v>4</v>
      </c>
      <c r="AG2">
        <v>5</v>
      </c>
      <c r="AH2" s="27">
        <f t="shared" ref="AH2:AH49" si="5">(AD2+AE2+(7-AF2)+AG2)/4</f>
        <v>3.75</v>
      </c>
      <c r="AI2">
        <v>2</v>
      </c>
      <c r="AJ2">
        <v>4</v>
      </c>
      <c r="AK2">
        <v>2</v>
      </c>
      <c r="AL2">
        <v>3</v>
      </c>
      <c r="AM2" s="27">
        <f t="shared" ref="AM2:AM49" si="6">((7-AI2)+AJ2+AK2+AL2)/4</f>
        <v>3.5</v>
      </c>
      <c r="AN2" s="8">
        <f t="shared" ref="AN2:AN49" si="7">(SUM(W2:X2,Z2:AB2,AD2:AE2,AG2,AJ2:AL2)+3*7-SUM(Y2,AF2,AI2))/14</f>
        <v>4.14285714285714</v>
      </c>
      <c r="AP2" s="7">
        <v>5</v>
      </c>
      <c r="AQ2" s="33">
        <v>6</v>
      </c>
      <c r="AR2">
        <v>5</v>
      </c>
      <c r="AS2">
        <v>7</v>
      </c>
      <c r="AT2" s="27">
        <f t="shared" ref="AT2:AT49" si="8">AVERAGE(AP2:AS2)</f>
        <v>5.75</v>
      </c>
      <c r="AU2">
        <v>7</v>
      </c>
      <c r="AV2">
        <v>5</v>
      </c>
      <c r="AW2">
        <v>7</v>
      </c>
      <c r="AX2">
        <v>7</v>
      </c>
      <c r="AY2" s="27">
        <f t="shared" ref="AY2:AY49" si="9">AVERAGE(AU2:AX2)</f>
        <v>6.5</v>
      </c>
      <c r="AZ2" s="8">
        <f t="shared" ref="AZ2:AZ49" si="10">AVERAGE(AP2:AS2,AU2:AX2)</f>
        <v>6.125</v>
      </c>
      <c r="BB2" s="7">
        <v>4</v>
      </c>
      <c r="BC2">
        <v>7</v>
      </c>
      <c r="BD2">
        <v>2</v>
      </c>
      <c r="BE2">
        <v>6</v>
      </c>
      <c r="BF2" s="27">
        <f t="shared" ref="BF2:BF49" si="11">(BB2+BC2+BE2+(7-BD2))/4</f>
        <v>5.5</v>
      </c>
      <c r="BG2">
        <v>7</v>
      </c>
      <c r="BH2">
        <v>4</v>
      </c>
      <c r="BI2">
        <v>2</v>
      </c>
      <c r="BJ2" s="27">
        <f t="shared" ref="BJ2:BJ49" si="12">(BG2+BH2+(7-BI2))/3</f>
        <v>5.33333333333333</v>
      </c>
      <c r="BK2" s="8">
        <f t="shared" ref="BK2:BK49" si="13">(SUM(BB2:BC2,BE2,BG2,BH2)+2*7-SUM(BD2,BI2))/7</f>
        <v>5.42857142857143</v>
      </c>
      <c r="BM2" s="7">
        <v>4</v>
      </c>
      <c r="BN2">
        <v>5</v>
      </c>
      <c r="BO2" s="8">
        <f t="shared" ref="BO2:BO49" si="14">SUM(BM2:BN2)</f>
        <v>9</v>
      </c>
      <c r="BP2" s="7">
        <v>4</v>
      </c>
      <c r="BQ2">
        <v>4</v>
      </c>
      <c r="BR2" s="8">
        <f t="shared" ref="BR2:BR49" si="15">SUM(BP2:BQ2)</f>
        <v>8</v>
      </c>
      <c r="BS2">
        <f t="shared" ref="BS2:BS49" si="16">BR2-BO2</f>
        <v>-1</v>
      </c>
      <c r="BU2" s="2">
        <v>1</v>
      </c>
      <c r="BV2" s="2">
        <v>4</v>
      </c>
      <c r="BW2" s="2">
        <v>2</v>
      </c>
      <c r="BX2" s="2">
        <v>1</v>
      </c>
      <c r="BY2" s="2">
        <v>16</v>
      </c>
      <c r="BZ2" s="2">
        <v>1</v>
      </c>
      <c r="CA2" s="2">
        <v>0</v>
      </c>
      <c r="CB2" s="2">
        <v>1</v>
      </c>
      <c r="CC2" s="2">
        <v>4</v>
      </c>
      <c r="CD2" s="2">
        <v>2</v>
      </c>
      <c r="CE2" s="2">
        <v>0</v>
      </c>
      <c r="CF2" s="2">
        <v>1</v>
      </c>
      <c r="CG2" s="2">
        <v>6</v>
      </c>
      <c r="CH2" s="2">
        <v>5</v>
      </c>
      <c r="CJ2" s="2">
        <v>211.4368</v>
      </c>
    </row>
    <row r="3" s="25" customFormat="1" ht="14.5" spans="1:88">
      <c r="A3" s="25" t="s">
        <v>88</v>
      </c>
      <c r="B3" s="25">
        <v>16</v>
      </c>
      <c r="C3" s="25" t="s">
        <v>83</v>
      </c>
      <c r="D3" s="25" t="s">
        <v>84</v>
      </c>
      <c r="E3" s="25" t="s">
        <v>85</v>
      </c>
      <c r="F3" s="25" t="s">
        <v>86</v>
      </c>
      <c r="G3" s="25" t="s">
        <v>86</v>
      </c>
      <c r="H3" s="25" t="s">
        <v>86</v>
      </c>
      <c r="J3" s="34">
        <v>3</v>
      </c>
      <c r="K3" s="25">
        <v>3</v>
      </c>
      <c r="L3" s="27">
        <f t="shared" si="0"/>
        <v>3</v>
      </c>
      <c r="M3" s="25">
        <v>5</v>
      </c>
      <c r="N3" s="25">
        <v>5</v>
      </c>
      <c r="O3" s="25">
        <v>7</v>
      </c>
      <c r="P3" s="27">
        <f t="shared" si="1"/>
        <v>5.66666666666667</v>
      </c>
      <c r="Q3" s="25">
        <v>3</v>
      </c>
      <c r="R3" s="25">
        <v>3</v>
      </c>
      <c r="S3" s="25">
        <v>3</v>
      </c>
      <c r="T3" s="27">
        <f t="shared" si="2"/>
        <v>3</v>
      </c>
      <c r="U3" s="35">
        <f t="shared" si="3"/>
        <v>4</v>
      </c>
      <c r="W3" s="28">
        <v>7</v>
      </c>
      <c r="X3" s="25">
        <v>7</v>
      </c>
      <c r="Y3" s="25">
        <v>4</v>
      </c>
      <c r="Z3" s="25">
        <v>6</v>
      </c>
      <c r="AA3" s="25">
        <v>7</v>
      </c>
      <c r="AB3" s="25">
        <v>7</v>
      </c>
      <c r="AC3" s="27">
        <f t="shared" si="4"/>
        <v>6</v>
      </c>
      <c r="AD3" s="25">
        <v>6</v>
      </c>
      <c r="AE3" s="25">
        <v>7</v>
      </c>
      <c r="AF3" s="36">
        <v>1</v>
      </c>
      <c r="AG3" s="25">
        <v>6</v>
      </c>
      <c r="AH3" s="27">
        <f t="shared" si="5"/>
        <v>6.25</v>
      </c>
      <c r="AI3" s="25">
        <v>2</v>
      </c>
      <c r="AJ3" s="25">
        <v>5</v>
      </c>
      <c r="AK3" s="25">
        <v>4</v>
      </c>
      <c r="AL3" s="25">
        <v>4</v>
      </c>
      <c r="AM3" s="27">
        <f t="shared" si="6"/>
        <v>4.5</v>
      </c>
      <c r="AN3" s="35">
        <f t="shared" si="7"/>
        <v>5.71428571428571</v>
      </c>
      <c r="AP3" s="34">
        <v>5</v>
      </c>
      <c r="AQ3" s="25">
        <v>5</v>
      </c>
      <c r="AR3" s="25">
        <v>4</v>
      </c>
      <c r="AS3" s="25">
        <v>6</v>
      </c>
      <c r="AT3" s="27">
        <f t="shared" si="8"/>
        <v>5</v>
      </c>
      <c r="AU3" s="25">
        <v>6</v>
      </c>
      <c r="AV3" s="25">
        <v>6</v>
      </c>
      <c r="AW3" s="25">
        <v>6</v>
      </c>
      <c r="AX3" s="25">
        <v>4</v>
      </c>
      <c r="AY3" s="27">
        <f t="shared" si="9"/>
        <v>5.5</v>
      </c>
      <c r="AZ3" s="35">
        <f t="shared" si="10"/>
        <v>5.25</v>
      </c>
      <c r="BB3" s="34">
        <v>4</v>
      </c>
      <c r="BC3" s="25">
        <v>4</v>
      </c>
      <c r="BD3" s="25">
        <v>5</v>
      </c>
      <c r="BE3" s="25">
        <v>3</v>
      </c>
      <c r="BF3" s="27">
        <f t="shared" si="11"/>
        <v>3.25</v>
      </c>
      <c r="BG3" s="25">
        <v>6</v>
      </c>
      <c r="BH3" s="25">
        <v>6</v>
      </c>
      <c r="BI3" s="25">
        <v>3</v>
      </c>
      <c r="BJ3" s="27">
        <f t="shared" si="12"/>
        <v>5.33333333333333</v>
      </c>
      <c r="BK3" s="35">
        <f t="shared" si="13"/>
        <v>4.14285714285714</v>
      </c>
      <c r="BM3" s="34">
        <v>4</v>
      </c>
      <c r="BN3" s="25">
        <v>4</v>
      </c>
      <c r="BO3" s="35">
        <f t="shared" si="14"/>
        <v>8</v>
      </c>
      <c r="BP3" s="34">
        <v>5</v>
      </c>
      <c r="BQ3" s="25">
        <v>5</v>
      </c>
      <c r="BR3" s="35">
        <f t="shared" si="15"/>
        <v>10</v>
      </c>
      <c r="BS3" s="25">
        <f t="shared" si="16"/>
        <v>2</v>
      </c>
      <c r="BU3" s="37">
        <v>2</v>
      </c>
      <c r="BV3" s="37">
        <v>1</v>
      </c>
      <c r="BW3" s="37">
        <v>2</v>
      </c>
      <c r="BX3" s="37">
        <v>3</v>
      </c>
      <c r="BY3" s="37">
        <v>19</v>
      </c>
      <c r="BZ3" s="37">
        <v>2</v>
      </c>
      <c r="CA3" s="37">
        <v>1</v>
      </c>
      <c r="CB3" s="37">
        <v>1</v>
      </c>
      <c r="CC3" s="37">
        <v>2</v>
      </c>
      <c r="CD3" s="37">
        <v>3</v>
      </c>
      <c r="CE3" s="37">
        <v>1</v>
      </c>
      <c r="CF3" s="37">
        <v>2</v>
      </c>
      <c r="CG3" s="37">
        <v>3</v>
      </c>
      <c r="CH3" s="37">
        <v>2</v>
      </c>
      <c r="CJ3" s="37">
        <v>344.1592</v>
      </c>
    </row>
    <row r="4" ht="14.5" spans="1:88">
      <c r="A4" t="s">
        <v>90</v>
      </c>
      <c r="B4">
        <v>17</v>
      </c>
      <c r="C4" t="s">
        <v>91</v>
      </c>
      <c r="D4" t="s">
        <v>84</v>
      </c>
      <c r="E4" t="s">
        <v>85</v>
      </c>
      <c r="F4" t="s">
        <v>86</v>
      </c>
      <c r="G4" t="s">
        <v>86</v>
      </c>
      <c r="H4" t="s">
        <v>86</v>
      </c>
      <c r="J4" s="7">
        <v>3</v>
      </c>
      <c r="K4">
        <v>3</v>
      </c>
      <c r="L4" s="27">
        <f t="shared" si="0"/>
        <v>3</v>
      </c>
      <c r="M4">
        <v>4</v>
      </c>
      <c r="N4">
        <v>4</v>
      </c>
      <c r="O4">
        <v>4</v>
      </c>
      <c r="P4" s="27">
        <f t="shared" si="1"/>
        <v>4</v>
      </c>
      <c r="Q4">
        <v>3</v>
      </c>
      <c r="R4">
        <v>2</v>
      </c>
      <c r="S4">
        <v>3</v>
      </c>
      <c r="T4" s="27">
        <f t="shared" si="2"/>
        <v>2.66666666666667</v>
      </c>
      <c r="U4" s="8">
        <f t="shared" si="3"/>
        <v>3.25</v>
      </c>
      <c r="W4" s="28">
        <v>5</v>
      </c>
      <c r="X4">
        <v>5</v>
      </c>
      <c r="Y4">
        <v>4</v>
      </c>
      <c r="Z4">
        <v>2</v>
      </c>
      <c r="AA4">
        <v>4</v>
      </c>
      <c r="AB4">
        <v>5</v>
      </c>
      <c r="AC4" s="27">
        <f t="shared" si="4"/>
        <v>3.8</v>
      </c>
      <c r="AD4">
        <v>5</v>
      </c>
      <c r="AE4">
        <v>4</v>
      </c>
      <c r="AF4">
        <v>3</v>
      </c>
      <c r="AG4">
        <v>4</v>
      </c>
      <c r="AH4" s="27">
        <f t="shared" si="5"/>
        <v>4.25</v>
      </c>
      <c r="AI4">
        <v>5</v>
      </c>
      <c r="AJ4">
        <v>5</v>
      </c>
      <c r="AK4">
        <v>5</v>
      </c>
      <c r="AL4">
        <v>3</v>
      </c>
      <c r="AM4" s="27">
        <f t="shared" si="6"/>
        <v>3.75</v>
      </c>
      <c r="AN4" s="8">
        <f t="shared" si="7"/>
        <v>4</v>
      </c>
      <c r="AP4" s="7">
        <v>4</v>
      </c>
      <c r="AQ4">
        <v>4</v>
      </c>
      <c r="AR4">
        <v>4</v>
      </c>
      <c r="AS4">
        <v>4</v>
      </c>
      <c r="AT4" s="27">
        <f t="shared" si="8"/>
        <v>4</v>
      </c>
      <c r="AU4">
        <v>5</v>
      </c>
      <c r="AV4">
        <v>4</v>
      </c>
      <c r="AW4">
        <v>5</v>
      </c>
      <c r="AX4">
        <v>5</v>
      </c>
      <c r="AY4" s="27">
        <f t="shared" si="9"/>
        <v>4.75</v>
      </c>
      <c r="AZ4" s="8">
        <f t="shared" si="10"/>
        <v>4.375</v>
      </c>
      <c r="BB4" s="7">
        <v>5</v>
      </c>
      <c r="BC4">
        <v>4</v>
      </c>
      <c r="BD4">
        <v>3</v>
      </c>
      <c r="BE4">
        <v>4</v>
      </c>
      <c r="BF4" s="27">
        <f t="shared" si="11"/>
        <v>4.25</v>
      </c>
      <c r="BG4">
        <v>6</v>
      </c>
      <c r="BH4">
        <v>6</v>
      </c>
      <c r="BI4" s="16">
        <v>2</v>
      </c>
      <c r="BJ4" s="27">
        <f t="shared" si="12"/>
        <v>5.66666666666667</v>
      </c>
      <c r="BK4" s="8">
        <f t="shared" si="13"/>
        <v>4.85714285714286</v>
      </c>
      <c r="BM4" s="7">
        <v>3</v>
      </c>
      <c r="BN4">
        <v>1</v>
      </c>
      <c r="BO4" s="8">
        <f t="shared" si="14"/>
        <v>4</v>
      </c>
      <c r="BP4" s="7">
        <v>4</v>
      </c>
      <c r="BQ4">
        <v>5</v>
      </c>
      <c r="BR4" s="8">
        <f t="shared" si="15"/>
        <v>9</v>
      </c>
      <c r="BS4">
        <f t="shared" si="16"/>
        <v>5</v>
      </c>
      <c r="BU4" s="2">
        <v>1</v>
      </c>
      <c r="BV4" s="2">
        <v>0</v>
      </c>
      <c r="BW4" s="2">
        <v>0</v>
      </c>
      <c r="BX4" s="2">
        <v>0</v>
      </c>
      <c r="BY4" s="2">
        <v>16</v>
      </c>
      <c r="BZ4" s="2">
        <v>1</v>
      </c>
      <c r="CA4" s="2">
        <v>0</v>
      </c>
      <c r="CB4" s="2">
        <v>1</v>
      </c>
      <c r="CC4" s="2">
        <v>1</v>
      </c>
      <c r="CD4" s="2">
        <v>1</v>
      </c>
      <c r="CE4" s="2">
        <v>0</v>
      </c>
      <c r="CF4" s="2">
        <v>1</v>
      </c>
      <c r="CG4" s="2">
        <v>1</v>
      </c>
      <c r="CH4" s="2">
        <v>3</v>
      </c>
      <c r="CJ4" s="2">
        <v>139.4103</v>
      </c>
    </row>
    <row r="5" ht="14.5" spans="1:88">
      <c r="A5" t="s">
        <v>92</v>
      </c>
      <c r="B5">
        <v>16</v>
      </c>
      <c r="C5" t="s">
        <v>91</v>
      </c>
      <c r="D5" t="s">
        <v>84</v>
      </c>
      <c r="E5" t="s">
        <v>85</v>
      </c>
      <c r="F5" t="s">
        <v>86</v>
      </c>
      <c r="G5" t="s">
        <v>87</v>
      </c>
      <c r="H5" t="s">
        <v>86</v>
      </c>
      <c r="J5" s="7">
        <v>1</v>
      </c>
      <c r="K5">
        <v>1</v>
      </c>
      <c r="L5" s="27">
        <f t="shared" si="0"/>
        <v>1</v>
      </c>
      <c r="M5">
        <v>7</v>
      </c>
      <c r="N5">
        <v>7</v>
      </c>
      <c r="O5">
        <v>7</v>
      </c>
      <c r="P5" s="27">
        <f t="shared" si="1"/>
        <v>7</v>
      </c>
      <c r="Q5">
        <v>1</v>
      </c>
      <c r="R5">
        <v>1</v>
      </c>
      <c r="S5">
        <v>1</v>
      </c>
      <c r="T5" s="27">
        <f t="shared" si="2"/>
        <v>1</v>
      </c>
      <c r="U5" s="8">
        <f t="shared" si="3"/>
        <v>3.25</v>
      </c>
      <c r="W5" s="28">
        <v>7</v>
      </c>
      <c r="X5">
        <v>7</v>
      </c>
      <c r="Y5">
        <v>1</v>
      </c>
      <c r="Z5">
        <v>1</v>
      </c>
      <c r="AA5">
        <v>7</v>
      </c>
      <c r="AB5">
        <v>7</v>
      </c>
      <c r="AC5" s="27">
        <f t="shared" si="4"/>
        <v>5.6</v>
      </c>
      <c r="AD5">
        <v>5</v>
      </c>
      <c r="AE5">
        <v>4</v>
      </c>
      <c r="AF5">
        <v>4</v>
      </c>
      <c r="AG5">
        <v>5</v>
      </c>
      <c r="AH5" s="27">
        <f t="shared" si="5"/>
        <v>4.25</v>
      </c>
      <c r="AI5">
        <v>2</v>
      </c>
      <c r="AJ5">
        <v>7</v>
      </c>
      <c r="AK5">
        <v>1</v>
      </c>
      <c r="AL5">
        <v>7</v>
      </c>
      <c r="AM5" s="27">
        <f t="shared" si="6"/>
        <v>5</v>
      </c>
      <c r="AN5" s="8">
        <f t="shared" si="7"/>
        <v>5.14285714285714</v>
      </c>
      <c r="AP5" s="7">
        <v>7</v>
      </c>
      <c r="AQ5">
        <v>7</v>
      </c>
      <c r="AR5">
        <v>7</v>
      </c>
      <c r="AS5">
        <v>7</v>
      </c>
      <c r="AT5" s="27">
        <f t="shared" si="8"/>
        <v>7</v>
      </c>
      <c r="AU5">
        <v>7</v>
      </c>
      <c r="AV5">
        <v>7</v>
      </c>
      <c r="AW5">
        <v>7</v>
      </c>
      <c r="AX5">
        <v>7</v>
      </c>
      <c r="AY5" s="27">
        <f t="shared" si="9"/>
        <v>7</v>
      </c>
      <c r="AZ5" s="8">
        <f t="shared" si="10"/>
        <v>7</v>
      </c>
      <c r="BB5" s="7">
        <v>7</v>
      </c>
      <c r="BC5">
        <v>7</v>
      </c>
      <c r="BD5">
        <v>1</v>
      </c>
      <c r="BE5">
        <v>7</v>
      </c>
      <c r="BF5" s="27">
        <f t="shared" si="11"/>
        <v>6.75</v>
      </c>
      <c r="BG5">
        <v>7</v>
      </c>
      <c r="BH5">
        <v>7</v>
      </c>
      <c r="BI5">
        <v>1</v>
      </c>
      <c r="BJ5" s="27">
        <f t="shared" si="12"/>
        <v>6.66666666666667</v>
      </c>
      <c r="BK5" s="8">
        <f t="shared" si="13"/>
        <v>6.71428571428571</v>
      </c>
      <c r="BM5" s="7">
        <v>5</v>
      </c>
      <c r="BN5">
        <v>5</v>
      </c>
      <c r="BO5" s="8">
        <f t="shared" si="14"/>
        <v>10</v>
      </c>
      <c r="BP5" s="7">
        <v>5</v>
      </c>
      <c r="BQ5">
        <v>5</v>
      </c>
      <c r="BR5" s="8">
        <f t="shared" si="15"/>
        <v>10</v>
      </c>
      <c r="BS5">
        <f t="shared" si="16"/>
        <v>0</v>
      </c>
      <c r="BU5" s="2">
        <v>1</v>
      </c>
      <c r="BV5" s="2">
        <v>1</v>
      </c>
      <c r="BW5" s="2">
        <v>1</v>
      </c>
      <c r="BX5" s="2">
        <v>0</v>
      </c>
      <c r="BY5" s="2">
        <v>16</v>
      </c>
      <c r="BZ5" s="2">
        <v>2</v>
      </c>
      <c r="CA5" s="2">
        <v>0</v>
      </c>
      <c r="CB5" s="2">
        <v>1</v>
      </c>
      <c r="CC5" s="2">
        <v>1</v>
      </c>
      <c r="CD5" s="2">
        <v>1</v>
      </c>
      <c r="CE5" s="2">
        <v>0</v>
      </c>
      <c r="CF5" s="2">
        <v>0</v>
      </c>
      <c r="CG5" s="2">
        <v>2</v>
      </c>
      <c r="CH5" s="2">
        <v>2</v>
      </c>
      <c r="CJ5" s="2">
        <v>282.5554</v>
      </c>
    </row>
    <row r="6" ht="14.5" spans="1:88">
      <c r="A6" t="s">
        <v>93</v>
      </c>
      <c r="B6">
        <v>16</v>
      </c>
      <c r="C6" t="s">
        <v>91</v>
      </c>
      <c r="D6" t="s">
        <v>84</v>
      </c>
      <c r="E6" t="s">
        <v>85</v>
      </c>
      <c r="F6" t="s">
        <v>86</v>
      </c>
      <c r="G6" t="s">
        <v>87</v>
      </c>
      <c r="H6" t="s">
        <v>86</v>
      </c>
      <c r="J6" s="7">
        <v>4</v>
      </c>
      <c r="K6">
        <v>2</v>
      </c>
      <c r="L6" s="27">
        <f t="shared" si="0"/>
        <v>3</v>
      </c>
      <c r="M6">
        <v>6</v>
      </c>
      <c r="N6">
        <v>6</v>
      </c>
      <c r="O6">
        <v>6</v>
      </c>
      <c r="P6" s="27">
        <f t="shared" si="1"/>
        <v>6</v>
      </c>
      <c r="Q6">
        <v>2</v>
      </c>
      <c r="R6">
        <v>2</v>
      </c>
      <c r="S6">
        <v>2</v>
      </c>
      <c r="T6" s="27">
        <f t="shared" si="2"/>
        <v>2</v>
      </c>
      <c r="U6" s="8">
        <f t="shared" si="3"/>
        <v>3.75</v>
      </c>
      <c r="W6" s="28">
        <v>7</v>
      </c>
      <c r="X6">
        <v>7</v>
      </c>
      <c r="Y6">
        <v>4</v>
      </c>
      <c r="Z6">
        <v>4</v>
      </c>
      <c r="AA6">
        <v>5</v>
      </c>
      <c r="AB6">
        <v>5</v>
      </c>
      <c r="AC6" s="27">
        <f t="shared" si="4"/>
        <v>4.8</v>
      </c>
      <c r="AD6">
        <v>3</v>
      </c>
      <c r="AE6" s="16">
        <v>4</v>
      </c>
      <c r="AF6">
        <v>3</v>
      </c>
      <c r="AG6">
        <v>5</v>
      </c>
      <c r="AH6" s="27">
        <f t="shared" si="5"/>
        <v>4</v>
      </c>
      <c r="AI6">
        <v>5</v>
      </c>
      <c r="AJ6">
        <v>6</v>
      </c>
      <c r="AK6">
        <v>1</v>
      </c>
      <c r="AL6">
        <v>1</v>
      </c>
      <c r="AM6" s="27">
        <f t="shared" si="6"/>
        <v>2.5</v>
      </c>
      <c r="AN6" s="8">
        <f t="shared" si="7"/>
        <v>4.07142857142857</v>
      </c>
      <c r="AP6" s="7">
        <v>4</v>
      </c>
      <c r="AQ6">
        <v>5</v>
      </c>
      <c r="AR6">
        <v>4</v>
      </c>
      <c r="AS6">
        <v>4</v>
      </c>
      <c r="AT6" s="27">
        <f t="shared" si="8"/>
        <v>4.25</v>
      </c>
      <c r="AU6">
        <v>5</v>
      </c>
      <c r="AV6">
        <v>6</v>
      </c>
      <c r="AW6">
        <v>6</v>
      </c>
      <c r="AX6">
        <v>6</v>
      </c>
      <c r="AY6" s="27">
        <f t="shared" si="9"/>
        <v>5.75</v>
      </c>
      <c r="AZ6" s="8">
        <f t="shared" si="10"/>
        <v>5</v>
      </c>
      <c r="BB6" s="7">
        <v>5</v>
      </c>
      <c r="BC6">
        <v>5</v>
      </c>
      <c r="BD6">
        <v>4</v>
      </c>
      <c r="BE6">
        <v>4</v>
      </c>
      <c r="BF6" s="27">
        <f t="shared" si="11"/>
        <v>4.25</v>
      </c>
      <c r="BG6">
        <v>6</v>
      </c>
      <c r="BH6">
        <v>6</v>
      </c>
      <c r="BI6">
        <v>3</v>
      </c>
      <c r="BJ6" s="27">
        <f t="shared" si="12"/>
        <v>5.33333333333333</v>
      </c>
      <c r="BK6" s="8">
        <f t="shared" si="13"/>
        <v>4.71428571428571</v>
      </c>
      <c r="BM6" s="7">
        <v>5</v>
      </c>
      <c r="BN6">
        <v>5</v>
      </c>
      <c r="BO6" s="8">
        <f t="shared" si="14"/>
        <v>10</v>
      </c>
      <c r="BP6" s="7">
        <v>5</v>
      </c>
      <c r="BQ6">
        <v>5</v>
      </c>
      <c r="BR6" s="8">
        <f t="shared" si="15"/>
        <v>10</v>
      </c>
      <c r="BS6">
        <f t="shared" si="16"/>
        <v>0</v>
      </c>
      <c r="BU6" s="2">
        <v>1</v>
      </c>
      <c r="BV6" s="2">
        <v>1</v>
      </c>
      <c r="BW6" s="2">
        <v>1</v>
      </c>
      <c r="BX6" s="2">
        <v>0</v>
      </c>
      <c r="BY6" s="2">
        <v>15</v>
      </c>
      <c r="BZ6" s="2">
        <v>1</v>
      </c>
      <c r="CA6" s="2">
        <v>0</v>
      </c>
      <c r="CB6" s="2">
        <v>1</v>
      </c>
      <c r="CC6" s="2">
        <v>1</v>
      </c>
      <c r="CD6" s="2">
        <v>1</v>
      </c>
      <c r="CE6" s="2">
        <v>0</v>
      </c>
      <c r="CF6" s="2">
        <v>2</v>
      </c>
      <c r="CG6" s="2">
        <v>2</v>
      </c>
      <c r="CH6" s="2">
        <v>2</v>
      </c>
      <c r="CJ6" s="2">
        <v>327.9009</v>
      </c>
    </row>
    <row r="7" ht="14.5" spans="1:88">
      <c r="A7" t="s">
        <v>94</v>
      </c>
      <c r="B7">
        <v>16</v>
      </c>
      <c r="C7" t="s">
        <v>91</v>
      </c>
      <c r="D7" t="s">
        <v>84</v>
      </c>
      <c r="E7" t="s">
        <v>85</v>
      </c>
      <c r="F7" t="s">
        <v>86</v>
      </c>
      <c r="G7" t="s">
        <v>87</v>
      </c>
      <c r="H7" t="s">
        <v>86</v>
      </c>
      <c r="J7" s="7">
        <v>2</v>
      </c>
      <c r="K7">
        <v>2</v>
      </c>
      <c r="L7" s="27">
        <f t="shared" si="0"/>
        <v>2</v>
      </c>
      <c r="M7">
        <v>7</v>
      </c>
      <c r="N7">
        <v>7</v>
      </c>
      <c r="O7">
        <v>7</v>
      </c>
      <c r="P7" s="27">
        <f t="shared" si="1"/>
        <v>7</v>
      </c>
      <c r="Q7">
        <v>2</v>
      </c>
      <c r="R7">
        <v>2</v>
      </c>
      <c r="S7">
        <v>2</v>
      </c>
      <c r="T7" s="27">
        <f t="shared" si="2"/>
        <v>2</v>
      </c>
      <c r="U7" s="8">
        <f t="shared" si="3"/>
        <v>3.875</v>
      </c>
      <c r="W7" s="28">
        <v>7</v>
      </c>
      <c r="X7">
        <v>6</v>
      </c>
      <c r="Y7">
        <v>2</v>
      </c>
      <c r="Z7">
        <v>6</v>
      </c>
      <c r="AA7">
        <v>4</v>
      </c>
      <c r="AB7">
        <v>5</v>
      </c>
      <c r="AC7" s="27">
        <f t="shared" si="4"/>
        <v>5.2</v>
      </c>
      <c r="AD7">
        <v>5</v>
      </c>
      <c r="AE7">
        <v>5</v>
      </c>
      <c r="AF7">
        <v>3</v>
      </c>
      <c r="AG7">
        <v>5</v>
      </c>
      <c r="AH7" s="27">
        <f t="shared" si="5"/>
        <v>4.75</v>
      </c>
      <c r="AI7">
        <v>3</v>
      </c>
      <c r="AJ7">
        <v>4</v>
      </c>
      <c r="AK7">
        <v>3</v>
      </c>
      <c r="AL7">
        <v>2</v>
      </c>
      <c r="AM7" s="27">
        <f t="shared" si="6"/>
        <v>3.25</v>
      </c>
      <c r="AN7" s="8">
        <f t="shared" si="7"/>
        <v>4.64285714285714</v>
      </c>
      <c r="AP7" s="7">
        <v>3</v>
      </c>
      <c r="AQ7">
        <v>4</v>
      </c>
      <c r="AR7">
        <v>6</v>
      </c>
      <c r="AS7">
        <v>3</v>
      </c>
      <c r="AT7" s="27">
        <f t="shared" si="8"/>
        <v>4</v>
      </c>
      <c r="AU7">
        <v>6</v>
      </c>
      <c r="AV7">
        <v>3</v>
      </c>
      <c r="AW7">
        <v>5</v>
      </c>
      <c r="AX7">
        <v>6</v>
      </c>
      <c r="AY7" s="27">
        <f t="shared" si="9"/>
        <v>5</v>
      </c>
      <c r="AZ7" s="8">
        <f t="shared" si="10"/>
        <v>4.5</v>
      </c>
      <c r="BB7" s="7">
        <v>6</v>
      </c>
      <c r="BC7">
        <v>6</v>
      </c>
      <c r="BD7">
        <v>3</v>
      </c>
      <c r="BE7">
        <v>4</v>
      </c>
      <c r="BF7" s="27">
        <f t="shared" si="11"/>
        <v>5</v>
      </c>
      <c r="BG7">
        <v>5</v>
      </c>
      <c r="BH7">
        <v>5</v>
      </c>
      <c r="BI7">
        <v>3</v>
      </c>
      <c r="BJ7" s="27">
        <f t="shared" si="12"/>
        <v>4.66666666666667</v>
      </c>
      <c r="BK7" s="8">
        <f t="shared" si="13"/>
        <v>4.85714285714286</v>
      </c>
      <c r="BM7" s="7">
        <v>5</v>
      </c>
      <c r="BN7">
        <v>5</v>
      </c>
      <c r="BO7" s="8">
        <f t="shared" si="14"/>
        <v>10</v>
      </c>
      <c r="BP7" s="7">
        <v>5</v>
      </c>
      <c r="BQ7">
        <v>5</v>
      </c>
      <c r="BR7" s="8">
        <f t="shared" si="15"/>
        <v>10</v>
      </c>
      <c r="BS7">
        <f t="shared" si="16"/>
        <v>0</v>
      </c>
      <c r="BU7" s="2">
        <v>1</v>
      </c>
      <c r="BV7" s="2">
        <v>1</v>
      </c>
      <c r="BW7" s="2">
        <v>1</v>
      </c>
      <c r="BX7" s="2">
        <v>1</v>
      </c>
      <c r="BY7" s="2">
        <v>16</v>
      </c>
      <c r="BZ7" s="2">
        <v>1</v>
      </c>
      <c r="CA7" s="2">
        <v>0</v>
      </c>
      <c r="CB7" s="2">
        <v>1</v>
      </c>
      <c r="CC7" s="2">
        <v>1</v>
      </c>
      <c r="CD7" s="2">
        <v>2</v>
      </c>
      <c r="CE7" s="2">
        <v>0</v>
      </c>
      <c r="CF7" s="2">
        <v>1</v>
      </c>
      <c r="CG7" s="2">
        <v>1</v>
      </c>
      <c r="CH7" s="2">
        <v>1</v>
      </c>
      <c r="CJ7" s="2">
        <v>295.4995</v>
      </c>
    </row>
    <row r="8" ht="14.5" spans="1:88">
      <c r="A8" t="s">
        <v>95</v>
      </c>
      <c r="B8">
        <v>16</v>
      </c>
      <c r="C8" t="s">
        <v>91</v>
      </c>
      <c r="D8" t="s">
        <v>84</v>
      </c>
      <c r="E8" t="s">
        <v>85</v>
      </c>
      <c r="F8" t="s">
        <v>86</v>
      </c>
      <c r="G8" t="s">
        <v>87</v>
      </c>
      <c r="H8" t="s">
        <v>86</v>
      </c>
      <c r="J8" s="7">
        <v>5</v>
      </c>
      <c r="K8">
        <v>4</v>
      </c>
      <c r="L8" s="27">
        <f t="shared" si="0"/>
        <v>4.5</v>
      </c>
      <c r="M8">
        <v>6</v>
      </c>
      <c r="N8">
        <v>6</v>
      </c>
      <c r="O8">
        <v>4</v>
      </c>
      <c r="P8" s="27">
        <f t="shared" si="1"/>
        <v>5.33333333333333</v>
      </c>
      <c r="Q8">
        <v>2</v>
      </c>
      <c r="R8">
        <v>2</v>
      </c>
      <c r="S8">
        <v>2</v>
      </c>
      <c r="T8" s="27">
        <f t="shared" si="2"/>
        <v>2</v>
      </c>
      <c r="U8" s="8">
        <f t="shared" si="3"/>
        <v>3.875</v>
      </c>
      <c r="W8" s="28">
        <v>6</v>
      </c>
      <c r="X8">
        <v>6</v>
      </c>
      <c r="Y8">
        <v>3</v>
      </c>
      <c r="Z8">
        <v>5</v>
      </c>
      <c r="AA8">
        <v>6</v>
      </c>
      <c r="AB8">
        <v>6</v>
      </c>
      <c r="AC8" s="27">
        <f t="shared" si="4"/>
        <v>5.4</v>
      </c>
      <c r="AD8">
        <v>2</v>
      </c>
      <c r="AE8">
        <v>6</v>
      </c>
      <c r="AF8">
        <v>4</v>
      </c>
      <c r="AG8">
        <v>6</v>
      </c>
      <c r="AH8" s="27">
        <f t="shared" si="5"/>
        <v>4.25</v>
      </c>
      <c r="AI8">
        <v>3</v>
      </c>
      <c r="AJ8">
        <v>3</v>
      </c>
      <c r="AK8">
        <v>2</v>
      </c>
      <c r="AL8">
        <v>2</v>
      </c>
      <c r="AM8" s="27">
        <f t="shared" si="6"/>
        <v>2.75</v>
      </c>
      <c r="AN8" s="8">
        <f t="shared" si="7"/>
        <v>4.35714285714286</v>
      </c>
      <c r="AP8" s="7">
        <v>4</v>
      </c>
      <c r="AQ8">
        <v>3</v>
      </c>
      <c r="AR8">
        <v>3</v>
      </c>
      <c r="AS8">
        <v>3</v>
      </c>
      <c r="AT8" s="27">
        <f t="shared" si="8"/>
        <v>3.25</v>
      </c>
      <c r="AU8">
        <v>5</v>
      </c>
      <c r="AV8">
        <v>5</v>
      </c>
      <c r="AW8">
        <v>5</v>
      </c>
      <c r="AX8">
        <v>6</v>
      </c>
      <c r="AY8" s="27">
        <f t="shared" si="9"/>
        <v>5.25</v>
      </c>
      <c r="AZ8" s="8">
        <f t="shared" si="10"/>
        <v>4.25</v>
      </c>
      <c r="BB8" s="7">
        <v>3</v>
      </c>
      <c r="BC8">
        <v>2</v>
      </c>
      <c r="BD8">
        <v>6</v>
      </c>
      <c r="BE8">
        <v>5</v>
      </c>
      <c r="BF8" s="27">
        <f t="shared" si="11"/>
        <v>2.75</v>
      </c>
      <c r="BG8">
        <v>4</v>
      </c>
      <c r="BH8">
        <v>2</v>
      </c>
      <c r="BI8">
        <v>5</v>
      </c>
      <c r="BJ8" s="27">
        <f t="shared" si="12"/>
        <v>2.66666666666667</v>
      </c>
      <c r="BK8" s="8">
        <f t="shared" si="13"/>
        <v>2.71428571428571</v>
      </c>
      <c r="BM8" s="7">
        <v>5</v>
      </c>
      <c r="BN8">
        <v>5</v>
      </c>
      <c r="BO8" s="8">
        <f t="shared" si="14"/>
        <v>10</v>
      </c>
      <c r="BP8" s="7">
        <v>5</v>
      </c>
      <c r="BQ8">
        <v>5</v>
      </c>
      <c r="BR8" s="8">
        <f t="shared" si="15"/>
        <v>10</v>
      </c>
      <c r="BS8">
        <f t="shared" si="16"/>
        <v>0</v>
      </c>
      <c r="BU8" s="2">
        <v>1</v>
      </c>
      <c r="BV8" s="2">
        <v>2</v>
      </c>
      <c r="BW8" s="2">
        <v>2</v>
      </c>
      <c r="BX8" s="2">
        <v>1</v>
      </c>
      <c r="BY8" s="2">
        <v>17</v>
      </c>
      <c r="BZ8" s="2">
        <v>3</v>
      </c>
      <c r="CA8" s="2">
        <v>0</v>
      </c>
      <c r="CB8" s="2">
        <v>0</v>
      </c>
      <c r="CC8" s="2">
        <v>1</v>
      </c>
      <c r="CD8" s="2">
        <v>1</v>
      </c>
      <c r="CE8" s="2">
        <v>0</v>
      </c>
      <c r="CF8" s="2">
        <v>1</v>
      </c>
      <c r="CG8" s="2">
        <v>1</v>
      </c>
      <c r="CH8" s="2">
        <v>4</v>
      </c>
      <c r="CJ8" s="2">
        <v>386.7593</v>
      </c>
    </row>
    <row r="9" ht="14.5" spans="1:88">
      <c r="A9" t="s">
        <v>96</v>
      </c>
      <c r="B9">
        <v>16</v>
      </c>
      <c r="C9" t="s">
        <v>91</v>
      </c>
      <c r="D9" t="s">
        <v>84</v>
      </c>
      <c r="E9" t="s">
        <v>85</v>
      </c>
      <c r="F9" t="s">
        <v>87</v>
      </c>
      <c r="G9" t="s">
        <v>87</v>
      </c>
      <c r="H9" t="s">
        <v>86</v>
      </c>
      <c r="J9" s="7">
        <v>6</v>
      </c>
      <c r="K9">
        <v>3</v>
      </c>
      <c r="L9" s="27">
        <f t="shared" si="0"/>
        <v>4.5</v>
      </c>
      <c r="M9">
        <v>7</v>
      </c>
      <c r="N9">
        <v>5</v>
      </c>
      <c r="O9">
        <v>5</v>
      </c>
      <c r="P9" s="27">
        <f t="shared" si="1"/>
        <v>5.66666666666667</v>
      </c>
      <c r="Q9">
        <v>2</v>
      </c>
      <c r="R9">
        <v>2</v>
      </c>
      <c r="S9">
        <v>2</v>
      </c>
      <c r="T9" s="27">
        <f t="shared" si="2"/>
        <v>2</v>
      </c>
      <c r="U9" s="8">
        <f t="shared" si="3"/>
        <v>4</v>
      </c>
      <c r="W9" s="28">
        <v>6</v>
      </c>
      <c r="X9">
        <v>6</v>
      </c>
      <c r="Y9" s="16">
        <v>2</v>
      </c>
      <c r="Z9">
        <v>4</v>
      </c>
      <c r="AA9">
        <v>5</v>
      </c>
      <c r="AB9">
        <v>4</v>
      </c>
      <c r="AC9" s="27">
        <f t="shared" si="4"/>
        <v>4.8</v>
      </c>
      <c r="AD9">
        <v>5</v>
      </c>
      <c r="AE9">
        <v>3</v>
      </c>
      <c r="AF9">
        <v>5</v>
      </c>
      <c r="AG9">
        <v>5</v>
      </c>
      <c r="AH9" s="27">
        <f t="shared" si="5"/>
        <v>3.75</v>
      </c>
      <c r="AI9">
        <v>3</v>
      </c>
      <c r="AJ9">
        <v>5</v>
      </c>
      <c r="AK9">
        <v>3</v>
      </c>
      <c r="AL9">
        <v>2</v>
      </c>
      <c r="AM9" s="27">
        <f t="shared" si="6"/>
        <v>3.5</v>
      </c>
      <c r="AN9" s="8">
        <f t="shared" si="7"/>
        <v>4.21428571428571</v>
      </c>
      <c r="AP9" s="7">
        <v>5</v>
      </c>
      <c r="AQ9">
        <v>5</v>
      </c>
      <c r="AR9">
        <v>6</v>
      </c>
      <c r="AS9">
        <v>6</v>
      </c>
      <c r="AT9" s="27">
        <f t="shared" si="8"/>
        <v>5.5</v>
      </c>
      <c r="AU9">
        <v>7</v>
      </c>
      <c r="AV9">
        <v>7</v>
      </c>
      <c r="AW9" s="38">
        <v>3</v>
      </c>
      <c r="AX9">
        <v>5</v>
      </c>
      <c r="AY9" s="27">
        <f t="shared" si="9"/>
        <v>5.5</v>
      </c>
      <c r="AZ9" s="8">
        <f t="shared" si="10"/>
        <v>5.5</v>
      </c>
      <c r="BB9" s="7">
        <v>6</v>
      </c>
      <c r="BC9">
        <v>6</v>
      </c>
      <c r="BD9">
        <v>6</v>
      </c>
      <c r="BE9">
        <v>5</v>
      </c>
      <c r="BF9" s="27">
        <f t="shared" si="11"/>
        <v>4.5</v>
      </c>
      <c r="BG9">
        <v>3</v>
      </c>
      <c r="BH9">
        <v>6</v>
      </c>
      <c r="BI9" s="16">
        <v>2</v>
      </c>
      <c r="BJ9" s="27">
        <f t="shared" si="12"/>
        <v>4.66666666666667</v>
      </c>
      <c r="BK9" s="8">
        <f t="shared" si="13"/>
        <v>4.57142857142857</v>
      </c>
      <c r="BM9" s="7">
        <v>5</v>
      </c>
      <c r="BN9">
        <v>3</v>
      </c>
      <c r="BO9" s="8">
        <f t="shared" si="14"/>
        <v>8</v>
      </c>
      <c r="BP9" s="7">
        <v>5</v>
      </c>
      <c r="BQ9">
        <v>3</v>
      </c>
      <c r="BR9" s="8">
        <f t="shared" si="15"/>
        <v>8</v>
      </c>
      <c r="BS9">
        <f t="shared" si="16"/>
        <v>0</v>
      </c>
      <c r="BU9" s="2">
        <v>1</v>
      </c>
      <c r="BV9" s="2">
        <v>4</v>
      </c>
      <c r="BW9" s="2">
        <v>4</v>
      </c>
      <c r="BX9" s="2">
        <v>0</v>
      </c>
      <c r="BY9" s="2">
        <v>14</v>
      </c>
      <c r="BZ9" s="2">
        <v>1</v>
      </c>
      <c r="CA9" s="2">
        <v>0</v>
      </c>
      <c r="CB9" s="2">
        <v>1</v>
      </c>
      <c r="CC9" s="2">
        <v>1</v>
      </c>
      <c r="CD9" s="2">
        <v>3</v>
      </c>
      <c r="CE9" s="2">
        <v>0</v>
      </c>
      <c r="CF9" s="2">
        <v>1</v>
      </c>
      <c r="CG9" s="2">
        <v>1</v>
      </c>
      <c r="CH9" s="2">
        <v>2</v>
      </c>
      <c r="CJ9" s="2">
        <v>313.9985</v>
      </c>
    </row>
    <row r="10" ht="14.5" spans="1:88">
      <c r="A10" t="s">
        <v>97</v>
      </c>
      <c r="B10">
        <v>17</v>
      </c>
      <c r="C10" t="s">
        <v>91</v>
      </c>
      <c r="D10" t="s">
        <v>84</v>
      </c>
      <c r="E10" t="s">
        <v>85</v>
      </c>
      <c r="F10" t="s">
        <v>86</v>
      </c>
      <c r="G10" t="s">
        <v>87</v>
      </c>
      <c r="H10" t="s">
        <v>86</v>
      </c>
      <c r="J10" s="7">
        <v>3</v>
      </c>
      <c r="K10">
        <v>2</v>
      </c>
      <c r="L10" s="27">
        <f t="shared" si="0"/>
        <v>2.5</v>
      </c>
      <c r="M10">
        <v>6</v>
      </c>
      <c r="N10">
        <v>7</v>
      </c>
      <c r="O10">
        <v>7</v>
      </c>
      <c r="P10" s="27">
        <f t="shared" si="1"/>
        <v>6.66666666666667</v>
      </c>
      <c r="Q10">
        <v>2</v>
      </c>
      <c r="R10">
        <v>1</v>
      </c>
      <c r="S10">
        <v>1</v>
      </c>
      <c r="T10" s="27">
        <f t="shared" si="2"/>
        <v>1.33333333333333</v>
      </c>
      <c r="U10" s="8">
        <f t="shared" si="3"/>
        <v>3.625</v>
      </c>
      <c r="W10" s="28">
        <v>6</v>
      </c>
      <c r="X10">
        <v>6</v>
      </c>
      <c r="Y10" s="16">
        <v>2</v>
      </c>
      <c r="Z10">
        <v>6</v>
      </c>
      <c r="AA10">
        <v>7</v>
      </c>
      <c r="AB10">
        <v>7</v>
      </c>
      <c r="AC10" s="27">
        <f t="shared" si="4"/>
        <v>6.2</v>
      </c>
      <c r="AD10">
        <v>6</v>
      </c>
      <c r="AE10">
        <v>5</v>
      </c>
      <c r="AF10">
        <v>2</v>
      </c>
      <c r="AG10">
        <v>6</v>
      </c>
      <c r="AH10" s="27">
        <f t="shared" si="5"/>
        <v>5.5</v>
      </c>
      <c r="AI10">
        <v>2</v>
      </c>
      <c r="AJ10">
        <v>6</v>
      </c>
      <c r="AK10">
        <v>5</v>
      </c>
      <c r="AL10">
        <v>1</v>
      </c>
      <c r="AM10" s="27">
        <f t="shared" si="6"/>
        <v>4.25</v>
      </c>
      <c r="AN10" s="8">
        <f t="shared" si="7"/>
        <v>5.42857142857143</v>
      </c>
      <c r="AP10" s="7">
        <v>5</v>
      </c>
      <c r="AQ10">
        <v>5</v>
      </c>
      <c r="AR10">
        <v>7</v>
      </c>
      <c r="AS10">
        <v>5</v>
      </c>
      <c r="AT10" s="27">
        <f t="shared" si="8"/>
        <v>5.5</v>
      </c>
      <c r="AU10">
        <v>6</v>
      </c>
      <c r="AV10">
        <v>6</v>
      </c>
      <c r="AW10">
        <v>7</v>
      </c>
      <c r="AX10">
        <v>5</v>
      </c>
      <c r="AY10" s="27">
        <f t="shared" si="9"/>
        <v>6</v>
      </c>
      <c r="AZ10" s="8">
        <f t="shared" si="10"/>
        <v>5.75</v>
      </c>
      <c r="BB10" s="7">
        <v>6</v>
      </c>
      <c r="BC10">
        <v>6</v>
      </c>
      <c r="BD10">
        <v>5</v>
      </c>
      <c r="BE10">
        <v>5</v>
      </c>
      <c r="BF10" s="27">
        <f t="shared" si="11"/>
        <v>4.75</v>
      </c>
      <c r="BG10">
        <v>6</v>
      </c>
      <c r="BH10">
        <v>7</v>
      </c>
      <c r="BI10">
        <v>2</v>
      </c>
      <c r="BJ10" s="27">
        <f t="shared" si="12"/>
        <v>6</v>
      </c>
      <c r="BK10" s="8">
        <f t="shared" si="13"/>
        <v>5.28571428571429</v>
      </c>
      <c r="BM10" s="7">
        <v>4</v>
      </c>
      <c r="BN10">
        <v>5</v>
      </c>
      <c r="BO10" s="8">
        <f t="shared" si="14"/>
        <v>9</v>
      </c>
      <c r="BP10" s="7">
        <v>5</v>
      </c>
      <c r="BQ10">
        <v>5</v>
      </c>
      <c r="BR10" s="8">
        <f t="shared" si="15"/>
        <v>10</v>
      </c>
      <c r="BS10">
        <f t="shared" si="16"/>
        <v>1</v>
      </c>
      <c r="BU10" s="2">
        <v>1</v>
      </c>
      <c r="BV10" s="2">
        <v>4</v>
      </c>
      <c r="BW10" s="2">
        <v>2</v>
      </c>
      <c r="BX10" s="2">
        <v>0</v>
      </c>
      <c r="BY10" s="2">
        <v>15</v>
      </c>
      <c r="BZ10" s="2">
        <v>1</v>
      </c>
      <c r="CA10" s="2">
        <v>1</v>
      </c>
      <c r="CB10" s="2">
        <v>1</v>
      </c>
      <c r="CC10" s="2">
        <v>3</v>
      </c>
      <c r="CD10" s="2">
        <v>3</v>
      </c>
      <c r="CE10" s="2">
        <v>1</v>
      </c>
      <c r="CF10" s="2">
        <v>1</v>
      </c>
      <c r="CG10" s="2">
        <v>2</v>
      </c>
      <c r="CH10" s="2">
        <v>3</v>
      </c>
      <c r="CJ10" s="2">
        <v>255.7786</v>
      </c>
    </row>
    <row r="11" ht="14.5" spans="1:88">
      <c r="A11" t="s">
        <v>98</v>
      </c>
      <c r="B11">
        <v>16</v>
      </c>
      <c r="C11" t="s">
        <v>91</v>
      </c>
      <c r="D11" t="s">
        <v>84</v>
      </c>
      <c r="E11" t="s">
        <v>85</v>
      </c>
      <c r="F11" t="s">
        <v>87</v>
      </c>
      <c r="G11" t="s">
        <v>87</v>
      </c>
      <c r="H11" t="s">
        <v>87</v>
      </c>
      <c r="J11" s="7">
        <v>1</v>
      </c>
      <c r="K11">
        <v>1</v>
      </c>
      <c r="L11" s="27">
        <f t="shared" si="0"/>
        <v>1</v>
      </c>
      <c r="M11">
        <v>7</v>
      </c>
      <c r="N11">
        <v>7</v>
      </c>
      <c r="O11">
        <v>7</v>
      </c>
      <c r="P11" s="27">
        <f t="shared" si="1"/>
        <v>7</v>
      </c>
      <c r="Q11">
        <v>1</v>
      </c>
      <c r="R11">
        <v>1</v>
      </c>
      <c r="S11">
        <v>1</v>
      </c>
      <c r="T11" s="27">
        <f t="shared" si="2"/>
        <v>1</v>
      </c>
      <c r="U11" s="8">
        <f t="shared" si="3"/>
        <v>3.25</v>
      </c>
      <c r="W11" s="28">
        <v>7</v>
      </c>
      <c r="X11">
        <v>6</v>
      </c>
      <c r="Y11">
        <v>2</v>
      </c>
      <c r="Z11">
        <v>4</v>
      </c>
      <c r="AA11">
        <v>6</v>
      </c>
      <c r="AB11">
        <v>4</v>
      </c>
      <c r="AC11" s="27">
        <f t="shared" si="4"/>
        <v>5</v>
      </c>
      <c r="AD11">
        <v>5</v>
      </c>
      <c r="AE11">
        <v>2</v>
      </c>
      <c r="AF11">
        <v>4</v>
      </c>
      <c r="AG11">
        <v>5</v>
      </c>
      <c r="AH11" s="27">
        <f t="shared" si="5"/>
        <v>3.75</v>
      </c>
      <c r="AI11">
        <v>5</v>
      </c>
      <c r="AJ11">
        <v>5</v>
      </c>
      <c r="AK11">
        <v>4</v>
      </c>
      <c r="AL11">
        <v>3</v>
      </c>
      <c r="AM11" s="27">
        <f t="shared" si="6"/>
        <v>3.5</v>
      </c>
      <c r="AN11" s="8">
        <f t="shared" si="7"/>
        <v>4.35714285714286</v>
      </c>
      <c r="AP11" s="39">
        <v>6</v>
      </c>
      <c r="AQ11">
        <v>2</v>
      </c>
      <c r="AR11">
        <v>5</v>
      </c>
      <c r="AS11">
        <v>6</v>
      </c>
      <c r="AT11" s="27">
        <f t="shared" si="8"/>
        <v>4.75</v>
      </c>
      <c r="AU11">
        <v>6</v>
      </c>
      <c r="AV11">
        <v>7</v>
      </c>
      <c r="AW11">
        <v>6</v>
      </c>
      <c r="AX11">
        <v>5</v>
      </c>
      <c r="AY11" s="27">
        <f t="shared" si="9"/>
        <v>6</v>
      </c>
      <c r="AZ11" s="8">
        <f t="shared" si="10"/>
        <v>5.375</v>
      </c>
      <c r="BB11" s="7">
        <v>7</v>
      </c>
      <c r="BC11">
        <v>6</v>
      </c>
      <c r="BD11">
        <v>2</v>
      </c>
      <c r="BE11">
        <v>5</v>
      </c>
      <c r="BF11" s="27">
        <f t="shared" si="11"/>
        <v>5.75</v>
      </c>
      <c r="BG11">
        <v>7</v>
      </c>
      <c r="BH11">
        <v>5</v>
      </c>
      <c r="BI11">
        <v>3</v>
      </c>
      <c r="BJ11" s="27">
        <f t="shared" si="12"/>
        <v>5.33333333333333</v>
      </c>
      <c r="BK11" s="8">
        <f t="shared" si="13"/>
        <v>5.57142857142857</v>
      </c>
      <c r="BM11" s="7">
        <v>5</v>
      </c>
      <c r="BN11">
        <v>5</v>
      </c>
      <c r="BO11" s="8">
        <f t="shared" si="14"/>
        <v>10</v>
      </c>
      <c r="BP11" s="7">
        <v>5</v>
      </c>
      <c r="BQ11">
        <v>5</v>
      </c>
      <c r="BR11" s="8">
        <f t="shared" si="15"/>
        <v>10</v>
      </c>
      <c r="BS11">
        <f t="shared" si="16"/>
        <v>0</v>
      </c>
      <c r="BU11" s="2">
        <v>1</v>
      </c>
      <c r="BV11" s="2">
        <v>1</v>
      </c>
      <c r="BW11" s="2">
        <v>1</v>
      </c>
      <c r="BX11" s="2">
        <v>0</v>
      </c>
      <c r="BY11" s="2">
        <v>15</v>
      </c>
      <c r="BZ11" s="2">
        <v>1</v>
      </c>
      <c r="CA11" s="2">
        <v>0</v>
      </c>
      <c r="CB11" s="2">
        <v>0</v>
      </c>
      <c r="CC11" s="2">
        <v>1</v>
      </c>
      <c r="CD11" s="2">
        <v>1</v>
      </c>
      <c r="CE11" s="2">
        <v>1</v>
      </c>
      <c r="CF11" s="2">
        <v>1</v>
      </c>
      <c r="CG11" s="2">
        <v>3</v>
      </c>
      <c r="CH11" s="2">
        <v>2</v>
      </c>
      <c r="CJ11" s="2">
        <v>407.9248</v>
      </c>
    </row>
    <row r="12" ht="14.5" spans="1:88">
      <c r="A12" t="s">
        <v>99</v>
      </c>
      <c r="B12">
        <v>17</v>
      </c>
      <c r="C12" t="s">
        <v>91</v>
      </c>
      <c r="D12" t="s">
        <v>84</v>
      </c>
      <c r="E12" t="s">
        <v>85</v>
      </c>
      <c r="F12" t="s">
        <v>87</v>
      </c>
      <c r="G12" t="s">
        <v>87</v>
      </c>
      <c r="H12" t="s">
        <v>87</v>
      </c>
      <c r="J12" s="7">
        <v>3</v>
      </c>
      <c r="K12">
        <v>1</v>
      </c>
      <c r="L12" s="27">
        <f t="shared" si="0"/>
        <v>2</v>
      </c>
      <c r="M12">
        <v>2</v>
      </c>
      <c r="N12">
        <v>4</v>
      </c>
      <c r="O12">
        <v>6</v>
      </c>
      <c r="P12" s="27">
        <f t="shared" si="1"/>
        <v>4</v>
      </c>
      <c r="Q12">
        <v>2</v>
      </c>
      <c r="R12">
        <v>1</v>
      </c>
      <c r="S12">
        <v>3</v>
      </c>
      <c r="T12" s="27">
        <f t="shared" si="2"/>
        <v>2</v>
      </c>
      <c r="U12" s="8">
        <f t="shared" si="3"/>
        <v>2.75</v>
      </c>
      <c r="W12" s="28">
        <v>7</v>
      </c>
      <c r="X12">
        <v>6</v>
      </c>
      <c r="Y12">
        <v>2</v>
      </c>
      <c r="Z12">
        <v>2</v>
      </c>
      <c r="AA12">
        <v>6</v>
      </c>
      <c r="AB12">
        <v>6</v>
      </c>
      <c r="AC12" s="27">
        <f t="shared" si="4"/>
        <v>5</v>
      </c>
      <c r="AD12">
        <v>5</v>
      </c>
      <c r="AE12">
        <v>3</v>
      </c>
      <c r="AF12">
        <v>5</v>
      </c>
      <c r="AG12">
        <v>3</v>
      </c>
      <c r="AH12" s="27">
        <f t="shared" si="5"/>
        <v>3.25</v>
      </c>
      <c r="AI12">
        <v>6</v>
      </c>
      <c r="AJ12">
        <v>6</v>
      </c>
      <c r="AK12">
        <v>6</v>
      </c>
      <c r="AL12">
        <v>2</v>
      </c>
      <c r="AM12" s="27">
        <f t="shared" si="6"/>
        <v>3.75</v>
      </c>
      <c r="AN12" s="8">
        <f t="shared" si="7"/>
        <v>4.28571428571429</v>
      </c>
      <c r="AP12" s="7">
        <v>3</v>
      </c>
      <c r="AQ12">
        <v>5</v>
      </c>
      <c r="AR12">
        <v>6</v>
      </c>
      <c r="AS12">
        <v>5</v>
      </c>
      <c r="AT12" s="27">
        <f t="shared" si="8"/>
        <v>4.75</v>
      </c>
      <c r="AU12">
        <v>6</v>
      </c>
      <c r="AV12">
        <v>6</v>
      </c>
      <c r="AW12">
        <v>7</v>
      </c>
      <c r="AX12">
        <v>7</v>
      </c>
      <c r="AY12" s="27">
        <f t="shared" si="9"/>
        <v>6.5</v>
      </c>
      <c r="AZ12" s="8">
        <f t="shared" si="10"/>
        <v>5.625</v>
      </c>
      <c r="BB12" s="7">
        <v>5</v>
      </c>
      <c r="BC12">
        <v>4</v>
      </c>
      <c r="BD12">
        <v>2</v>
      </c>
      <c r="BE12">
        <v>4</v>
      </c>
      <c r="BF12" s="27">
        <f t="shared" si="11"/>
        <v>4.5</v>
      </c>
      <c r="BG12">
        <v>7</v>
      </c>
      <c r="BH12">
        <v>7</v>
      </c>
      <c r="BI12">
        <v>2</v>
      </c>
      <c r="BJ12" s="27">
        <f t="shared" si="12"/>
        <v>6.33333333333333</v>
      </c>
      <c r="BK12" s="8">
        <f t="shared" si="13"/>
        <v>5.28571428571429</v>
      </c>
      <c r="BM12" s="7">
        <v>5</v>
      </c>
      <c r="BN12">
        <v>5</v>
      </c>
      <c r="BO12" s="8">
        <f t="shared" si="14"/>
        <v>10</v>
      </c>
      <c r="BP12" s="7">
        <v>5</v>
      </c>
      <c r="BQ12">
        <v>5</v>
      </c>
      <c r="BR12" s="8">
        <f t="shared" si="15"/>
        <v>10</v>
      </c>
      <c r="BS12">
        <f t="shared" si="16"/>
        <v>0</v>
      </c>
      <c r="BU12" s="2">
        <v>2</v>
      </c>
      <c r="BV12" s="2">
        <v>4</v>
      </c>
      <c r="BW12" s="2">
        <v>3</v>
      </c>
      <c r="BX12" s="2">
        <v>2</v>
      </c>
      <c r="BY12" s="2">
        <v>18</v>
      </c>
      <c r="BZ12" s="2">
        <v>2</v>
      </c>
      <c r="CA12" s="2">
        <v>0</v>
      </c>
      <c r="CB12" s="2">
        <v>1</v>
      </c>
      <c r="CC12" s="2">
        <v>1</v>
      </c>
      <c r="CD12" s="2">
        <v>0</v>
      </c>
      <c r="CE12" s="2">
        <v>0</v>
      </c>
      <c r="CF12" s="2">
        <v>1</v>
      </c>
      <c r="CG12" s="2">
        <v>2</v>
      </c>
      <c r="CH12" s="2">
        <v>2</v>
      </c>
      <c r="CJ12" s="2">
        <v>348.4981</v>
      </c>
    </row>
    <row r="13" s="25" customFormat="1" ht="14.5" spans="1:88">
      <c r="A13" s="40" t="s">
        <v>138</v>
      </c>
      <c r="B13" s="25">
        <v>16</v>
      </c>
      <c r="C13" s="25" t="s">
        <v>91</v>
      </c>
      <c r="D13" s="25" t="s">
        <v>84</v>
      </c>
      <c r="E13" s="25" t="s">
        <v>85</v>
      </c>
      <c r="F13" s="25" t="s">
        <v>86</v>
      </c>
      <c r="G13" s="25" t="s">
        <v>86</v>
      </c>
      <c r="H13" s="25" t="s">
        <v>86</v>
      </c>
      <c r="J13" s="34">
        <v>4</v>
      </c>
      <c r="K13" s="25">
        <v>3</v>
      </c>
      <c r="L13" s="27">
        <f t="shared" si="0"/>
        <v>3.5</v>
      </c>
      <c r="M13" s="25">
        <v>7</v>
      </c>
      <c r="N13" s="25">
        <v>7</v>
      </c>
      <c r="O13" s="25">
        <v>7</v>
      </c>
      <c r="P13" s="27">
        <f t="shared" si="1"/>
        <v>7</v>
      </c>
      <c r="Q13" s="25">
        <v>3</v>
      </c>
      <c r="R13" s="25">
        <v>2</v>
      </c>
      <c r="S13" s="25">
        <v>2</v>
      </c>
      <c r="T13" s="27">
        <f t="shared" si="2"/>
        <v>2.33333333333333</v>
      </c>
      <c r="U13" s="35">
        <f t="shared" si="3"/>
        <v>4.375</v>
      </c>
      <c r="W13" s="28">
        <v>7</v>
      </c>
      <c r="X13" s="25">
        <v>7</v>
      </c>
      <c r="Y13" s="36">
        <v>1</v>
      </c>
      <c r="Z13" s="25">
        <v>4</v>
      </c>
      <c r="AA13" s="25">
        <v>7</v>
      </c>
      <c r="AB13" s="25">
        <v>7</v>
      </c>
      <c r="AC13" s="27">
        <f t="shared" si="4"/>
        <v>6.2</v>
      </c>
      <c r="AD13" s="25">
        <v>7</v>
      </c>
      <c r="AE13" s="25">
        <v>4</v>
      </c>
      <c r="AF13" s="36">
        <v>1</v>
      </c>
      <c r="AG13" s="25">
        <v>4</v>
      </c>
      <c r="AH13" s="27">
        <f t="shared" si="5"/>
        <v>5.25</v>
      </c>
      <c r="AI13" s="25">
        <v>2</v>
      </c>
      <c r="AJ13" s="25">
        <v>4</v>
      </c>
      <c r="AK13" s="25">
        <v>4</v>
      </c>
      <c r="AL13" s="25">
        <v>4</v>
      </c>
      <c r="AM13" s="27">
        <f t="shared" si="6"/>
        <v>4.25</v>
      </c>
      <c r="AN13" s="35">
        <f t="shared" si="7"/>
        <v>5.42857142857143</v>
      </c>
      <c r="AP13" s="34">
        <v>4</v>
      </c>
      <c r="AQ13" s="25">
        <v>4</v>
      </c>
      <c r="AR13" s="25">
        <v>4</v>
      </c>
      <c r="AS13" s="25">
        <v>4</v>
      </c>
      <c r="AT13" s="27">
        <f t="shared" si="8"/>
        <v>4</v>
      </c>
      <c r="AU13" s="25">
        <v>4</v>
      </c>
      <c r="AV13" s="25">
        <v>4</v>
      </c>
      <c r="AW13" s="25">
        <v>4</v>
      </c>
      <c r="AX13" s="25">
        <v>4</v>
      </c>
      <c r="AY13" s="27">
        <f t="shared" si="9"/>
        <v>4</v>
      </c>
      <c r="AZ13" s="35">
        <f t="shared" si="10"/>
        <v>4</v>
      </c>
      <c r="BB13" s="34">
        <v>4</v>
      </c>
      <c r="BC13" s="25">
        <v>4</v>
      </c>
      <c r="BD13" s="25">
        <v>4</v>
      </c>
      <c r="BE13" s="25">
        <v>4</v>
      </c>
      <c r="BF13" s="27">
        <f t="shared" si="11"/>
        <v>3.75</v>
      </c>
      <c r="BG13" s="25">
        <v>4</v>
      </c>
      <c r="BH13" s="25">
        <v>4</v>
      </c>
      <c r="BI13" s="25">
        <v>4</v>
      </c>
      <c r="BJ13" s="27">
        <f t="shared" si="12"/>
        <v>3.66666666666667</v>
      </c>
      <c r="BK13" s="35">
        <f t="shared" si="13"/>
        <v>3.71428571428571</v>
      </c>
      <c r="BM13" s="34">
        <v>5</v>
      </c>
      <c r="BN13" s="25">
        <v>5</v>
      </c>
      <c r="BO13" s="35">
        <f t="shared" si="14"/>
        <v>10</v>
      </c>
      <c r="BP13" s="34">
        <v>5</v>
      </c>
      <c r="BQ13" s="25">
        <v>5</v>
      </c>
      <c r="BR13" s="35">
        <f t="shared" si="15"/>
        <v>10</v>
      </c>
      <c r="BS13" s="25">
        <f t="shared" si="16"/>
        <v>0</v>
      </c>
      <c r="BU13" s="37">
        <v>1</v>
      </c>
      <c r="BV13" s="37">
        <v>2</v>
      </c>
      <c r="BW13" s="37">
        <v>3</v>
      </c>
      <c r="BX13" s="37">
        <v>0</v>
      </c>
      <c r="BY13" s="37">
        <v>15</v>
      </c>
      <c r="BZ13" s="37">
        <v>1</v>
      </c>
      <c r="CA13" s="37">
        <v>0</v>
      </c>
      <c r="CB13" s="37">
        <v>1</v>
      </c>
      <c r="CC13" s="37">
        <v>1</v>
      </c>
      <c r="CD13" s="37">
        <v>0</v>
      </c>
      <c r="CE13" s="37">
        <v>0</v>
      </c>
      <c r="CF13" s="37">
        <v>1</v>
      </c>
      <c r="CG13" s="37">
        <v>1</v>
      </c>
      <c r="CH13" s="37">
        <v>0</v>
      </c>
      <c r="CJ13" s="37">
        <v>281.251</v>
      </c>
    </row>
    <row r="14" ht="14.5" spans="1:88">
      <c r="A14" t="s">
        <v>101</v>
      </c>
      <c r="B14">
        <v>16</v>
      </c>
      <c r="C14" t="s">
        <v>91</v>
      </c>
      <c r="D14" t="s">
        <v>84</v>
      </c>
      <c r="E14" t="s">
        <v>85</v>
      </c>
      <c r="F14" t="s">
        <v>86</v>
      </c>
      <c r="G14" t="s">
        <v>87</v>
      </c>
      <c r="H14" t="s">
        <v>86</v>
      </c>
      <c r="J14" s="7">
        <v>3</v>
      </c>
      <c r="K14">
        <v>1</v>
      </c>
      <c r="L14" s="27">
        <f t="shared" si="0"/>
        <v>2</v>
      </c>
      <c r="M14">
        <v>7</v>
      </c>
      <c r="N14">
        <v>7</v>
      </c>
      <c r="O14">
        <v>7</v>
      </c>
      <c r="P14" s="27">
        <f t="shared" si="1"/>
        <v>7</v>
      </c>
      <c r="Q14">
        <v>1</v>
      </c>
      <c r="R14">
        <v>1</v>
      </c>
      <c r="S14">
        <v>1</v>
      </c>
      <c r="T14" s="27">
        <f t="shared" si="2"/>
        <v>1</v>
      </c>
      <c r="U14" s="8">
        <f t="shared" si="3"/>
        <v>3.5</v>
      </c>
      <c r="W14" s="28">
        <v>7</v>
      </c>
      <c r="X14">
        <v>7</v>
      </c>
      <c r="Y14">
        <v>2</v>
      </c>
      <c r="Z14">
        <v>1</v>
      </c>
      <c r="AA14">
        <v>7</v>
      </c>
      <c r="AB14">
        <v>7</v>
      </c>
      <c r="AC14" s="27">
        <f t="shared" si="4"/>
        <v>5.4</v>
      </c>
      <c r="AD14">
        <v>1</v>
      </c>
      <c r="AE14">
        <v>7</v>
      </c>
      <c r="AF14">
        <v>1</v>
      </c>
      <c r="AG14">
        <v>7</v>
      </c>
      <c r="AH14" s="27">
        <f t="shared" si="5"/>
        <v>5.25</v>
      </c>
      <c r="AI14">
        <v>1</v>
      </c>
      <c r="AJ14">
        <v>7</v>
      </c>
      <c r="AK14">
        <v>7</v>
      </c>
      <c r="AL14">
        <v>7</v>
      </c>
      <c r="AM14" s="27">
        <f t="shared" si="6"/>
        <v>6.75</v>
      </c>
      <c r="AN14" s="8">
        <f t="shared" si="7"/>
        <v>5.85714285714286</v>
      </c>
      <c r="AP14" s="7">
        <v>7</v>
      </c>
      <c r="AQ14">
        <v>7</v>
      </c>
      <c r="AR14">
        <v>7</v>
      </c>
      <c r="AS14">
        <v>7</v>
      </c>
      <c r="AT14" s="27">
        <f t="shared" si="8"/>
        <v>7</v>
      </c>
      <c r="AU14">
        <v>7</v>
      </c>
      <c r="AV14">
        <v>7</v>
      </c>
      <c r="AW14">
        <v>7</v>
      </c>
      <c r="AX14">
        <v>7</v>
      </c>
      <c r="AY14" s="27">
        <f t="shared" si="9"/>
        <v>7</v>
      </c>
      <c r="AZ14" s="8">
        <f t="shared" si="10"/>
        <v>7</v>
      </c>
      <c r="BB14" s="7">
        <v>7</v>
      </c>
      <c r="BC14">
        <v>7</v>
      </c>
      <c r="BD14">
        <v>2</v>
      </c>
      <c r="BE14">
        <v>7</v>
      </c>
      <c r="BF14" s="27">
        <f t="shared" si="11"/>
        <v>6.5</v>
      </c>
      <c r="BG14">
        <v>7</v>
      </c>
      <c r="BH14">
        <v>7</v>
      </c>
      <c r="BI14">
        <v>1</v>
      </c>
      <c r="BJ14" s="27">
        <f t="shared" si="12"/>
        <v>6.66666666666667</v>
      </c>
      <c r="BK14" s="8">
        <f t="shared" si="13"/>
        <v>6.57142857142857</v>
      </c>
      <c r="BM14" s="7">
        <v>4</v>
      </c>
      <c r="BN14">
        <v>5</v>
      </c>
      <c r="BO14" s="8">
        <f t="shared" si="14"/>
        <v>9</v>
      </c>
      <c r="BP14" s="7">
        <v>4</v>
      </c>
      <c r="BQ14">
        <v>5</v>
      </c>
      <c r="BR14" s="8">
        <f t="shared" si="15"/>
        <v>9</v>
      </c>
      <c r="BS14">
        <f t="shared" si="16"/>
        <v>0</v>
      </c>
      <c r="BU14" s="2">
        <v>2</v>
      </c>
      <c r="BV14" s="2">
        <v>2</v>
      </c>
      <c r="BW14" s="2">
        <v>2</v>
      </c>
      <c r="BX14" s="2">
        <v>2</v>
      </c>
      <c r="BY14" s="2">
        <v>18</v>
      </c>
      <c r="BZ14" s="2">
        <v>2</v>
      </c>
      <c r="CA14" s="2">
        <v>0</v>
      </c>
      <c r="CB14" s="2">
        <v>1</v>
      </c>
      <c r="CC14" s="2">
        <v>2</v>
      </c>
      <c r="CD14" s="2">
        <v>1</v>
      </c>
      <c r="CE14" s="2">
        <v>0</v>
      </c>
      <c r="CF14" s="2">
        <v>1</v>
      </c>
      <c r="CG14" s="2">
        <v>2</v>
      </c>
      <c r="CH14" s="2">
        <v>2</v>
      </c>
      <c r="CJ14" s="2">
        <v>368.9272</v>
      </c>
    </row>
    <row r="15" ht="14.5" spans="1:88">
      <c r="A15" t="s">
        <v>102</v>
      </c>
      <c r="B15">
        <v>17</v>
      </c>
      <c r="C15" t="s">
        <v>91</v>
      </c>
      <c r="D15" t="s">
        <v>84</v>
      </c>
      <c r="E15" t="s">
        <v>85</v>
      </c>
      <c r="F15" t="s">
        <v>86</v>
      </c>
      <c r="G15" t="s">
        <v>87</v>
      </c>
      <c r="H15" t="s">
        <v>86</v>
      </c>
      <c r="J15" s="7">
        <v>2</v>
      </c>
      <c r="K15">
        <v>2</v>
      </c>
      <c r="L15" s="27">
        <f t="shared" si="0"/>
        <v>2</v>
      </c>
      <c r="M15">
        <v>5</v>
      </c>
      <c r="N15">
        <v>5</v>
      </c>
      <c r="O15">
        <v>5</v>
      </c>
      <c r="P15" s="27">
        <f t="shared" si="1"/>
        <v>5</v>
      </c>
      <c r="Q15">
        <v>1</v>
      </c>
      <c r="R15">
        <v>1</v>
      </c>
      <c r="S15">
        <v>1</v>
      </c>
      <c r="T15" s="27">
        <f t="shared" si="2"/>
        <v>1</v>
      </c>
      <c r="U15" s="8">
        <f t="shared" si="3"/>
        <v>2.75</v>
      </c>
      <c r="W15" s="28">
        <v>7</v>
      </c>
      <c r="X15" s="21">
        <v>7</v>
      </c>
      <c r="Y15" s="21">
        <v>3</v>
      </c>
      <c r="Z15" s="21">
        <v>7</v>
      </c>
      <c r="AA15" s="21">
        <v>3</v>
      </c>
      <c r="AB15" s="21">
        <v>7</v>
      </c>
      <c r="AC15" s="27">
        <f t="shared" si="4"/>
        <v>5.6</v>
      </c>
      <c r="AD15" s="21">
        <v>2</v>
      </c>
      <c r="AE15" s="21">
        <v>2</v>
      </c>
      <c r="AF15" s="21">
        <v>5</v>
      </c>
      <c r="AG15" s="21">
        <v>5</v>
      </c>
      <c r="AH15" s="27">
        <f t="shared" si="5"/>
        <v>2.75</v>
      </c>
      <c r="AI15" s="21">
        <v>1</v>
      </c>
      <c r="AJ15" s="21">
        <v>5</v>
      </c>
      <c r="AK15" s="21">
        <v>3</v>
      </c>
      <c r="AL15" s="21">
        <v>4</v>
      </c>
      <c r="AM15" s="27">
        <f t="shared" si="6"/>
        <v>4.5</v>
      </c>
      <c r="AN15" s="8">
        <f t="shared" si="7"/>
        <v>4.57142857142857</v>
      </c>
      <c r="AP15" s="7">
        <v>5</v>
      </c>
      <c r="AQ15" s="21">
        <v>5</v>
      </c>
      <c r="AR15" s="21">
        <v>7</v>
      </c>
      <c r="AS15" s="21">
        <v>5</v>
      </c>
      <c r="AT15" s="27">
        <f t="shared" si="8"/>
        <v>5.5</v>
      </c>
      <c r="AU15" s="21">
        <v>5</v>
      </c>
      <c r="AV15" s="21">
        <v>7</v>
      </c>
      <c r="AW15" s="21">
        <v>7</v>
      </c>
      <c r="AX15" s="21">
        <v>7</v>
      </c>
      <c r="AY15" s="27">
        <f t="shared" si="9"/>
        <v>6.5</v>
      </c>
      <c r="AZ15" s="8">
        <f t="shared" si="10"/>
        <v>6</v>
      </c>
      <c r="BB15" s="7">
        <v>5</v>
      </c>
      <c r="BC15" s="21">
        <v>7</v>
      </c>
      <c r="BD15" s="21">
        <v>2</v>
      </c>
      <c r="BE15" s="21">
        <v>5</v>
      </c>
      <c r="BF15" s="27">
        <f t="shared" si="11"/>
        <v>5.5</v>
      </c>
      <c r="BG15" s="21">
        <v>7</v>
      </c>
      <c r="BH15" s="21">
        <v>7</v>
      </c>
      <c r="BI15" s="21">
        <v>2</v>
      </c>
      <c r="BJ15" s="27">
        <f t="shared" si="12"/>
        <v>6.33333333333333</v>
      </c>
      <c r="BK15" s="8">
        <f t="shared" si="13"/>
        <v>5.85714285714286</v>
      </c>
      <c r="BM15" s="7">
        <v>4</v>
      </c>
      <c r="BN15">
        <v>4</v>
      </c>
      <c r="BO15" s="8">
        <f t="shared" si="14"/>
        <v>8</v>
      </c>
      <c r="BP15" s="7">
        <v>5</v>
      </c>
      <c r="BQ15" s="21">
        <v>5</v>
      </c>
      <c r="BR15" s="8">
        <f t="shared" si="15"/>
        <v>10</v>
      </c>
      <c r="BS15">
        <f t="shared" si="16"/>
        <v>2</v>
      </c>
      <c r="BU15" s="2">
        <v>1</v>
      </c>
      <c r="BV15" s="2">
        <v>2</v>
      </c>
      <c r="BW15" s="2">
        <v>2</v>
      </c>
      <c r="BX15" s="2">
        <v>0</v>
      </c>
      <c r="BY15" s="2">
        <v>15</v>
      </c>
      <c r="BZ15" s="2">
        <v>1</v>
      </c>
      <c r="CA15" s="2">
        <v>0</v>
      </c>
      <c r="CB15" s="2">
        <v>2</v>
      </c>
      <c r="CC15" s="2">
        <v>1</v>
      </c>
      <c r="CD15" s="2">
        <v>3</v>
      </c>
      <c r="CE15" s="2">
        <v>0</v>
      </c>
      <c r="CF15" s="2">
        <v>1</v>
      </c>
      <c r="CG15" s="2">
        <v>1</v>
      </c>
      <c r="CH15" s="2">
        <v>2</v>
      </c>
      <c r="CJ15" s="2">
        <v>318.3179</v>
      </c>
    </row>
    <row r="16" ht="14.5" spans="1:88">
      <c r="A16" t="s">
        <v>103</v>
      </c>
      <c r="B16">
        <v>16</v>
      </c>
      <c r="C16" t="s">
        <v>91</v>
      </c>
      <c r="D16" t="s">
        <v>84</v>
      </c>
      <c r="E16" t="s">
        <v>85</v>
      </c>
      <c r="F16" t="s">
        <v>86</v>
      </c>
      <c r="G16" t="s">
        <v>87</v>
      </c>
      <c r="H16" t="s">
        <v>86</v>
      </c>
      <c r="J16" s="7">
        <v>3</v>
      </c>
      <c r="K16">
        <v>3</v>
      </c>
      <c r="L16" s="27">
        <f t="shared" si="0"/>
        <v>3</v>
      </c>
      <c r="M16">
        <v>5</v>
      </c>
      <c r="N16">
        <v>5</v>
      </c>
      <c r="O16">
        <v>5</v>
      </c>
      <c r="P16" s="27">
        <f t="shared" si="1"/>
        <v>5</v>
      </c>
      <c r="Q16">
        <v>3</v>
      </c>
      <c r="R16">
        <v>3</v>
      </c>
      <c r="S16">
        <v>3</v>
      </c>
      <c r="T16" s="27">
        <f t="shared" si="2"/>
        <v>3</v>
      </c>
      <c r="U16" s="8">
        <f t="shared" si="3"/>
        <v>3.75</v>
      </c>
      <c r="W16" s="28">
        <v>6</v>
      </c>
      <c r="X16">
        <v>6</v>
      </c>
      <c r="Y16">
        <v>2</v>
      </c>
      <c r="Z16">
        <v>2</v>
      </c>
      <c r="AA16">
        <v>6</v>
      </c>
      <c r="AB16">
        <v>6</v>
      </c>
      <c r="AC16" s="27">
        <f t="shared" si="4"/>
        <v>5</v>
      </c>
      <c r="AD16">
        <v>3</v>
      </c>
      <c r="AE16">
        <v>2</v>
      </c>
      <c r="AF16">
        <v>3</v>
      </c>
      <c r="AG16">
        <v>6</v>
      </c>
      <c r="AH16" s="27">
        <f t="shared" si="5"/>
        <v>3.75</v>
      </c>
      <c r="AI16">
        <v>6</v>
      </c>
      <c r="AJ16">
        <v>6</v>
      </c>
      <c r="AK16">
        <v>6</v>
      </c>
      <c r="AL16">
        <v>4</v>
      </c>
      <c r="AM16" s="27">
        <f t="shared" si="6"/>
        <v>4.25</v>
      </c>
      <c r="AN16" s="8">
        <f t="shared" si="7"/>
        <v>4.5</v>
      </c>
      <c r="AP16" s="7">
        <v>5</v>
      </c>
      <c r="AQ16">
        <v>5</v>
      </c>
      <c r="AR16">
        <v>5</v>
      </c>
      <c r="AS16">
        <v>5</v>
      </c>
      <c r="AT16" s="27">
        <f t="shared" si="8"/>
        <v>5</v>
      </c>
      <c r="AU16">
        <v>5</v>
      </c>
      <c r="AV16">
        <v>5</v>
      </c>
      <c r="AW16">
        <v>5</v>
      </c>
      <c r="AX16">
        <v>5</v>
      </c>
      <c r="AY16" s="27">
        <f t="shared" si="9"/>
        <v>5</v>
      </c>
      <c r="AZ16" s="8">
        <f t="shared" si="10"/>
        <v>5</v>
      </c>
      <c r="BB16" s="7">
        <v>5</v>
      </c>
      <c r="BC16">
        <v>5</v>
      </c>
      <c r="BD16">
        <v>3</v>
      </c>
      <c r="BE16">
        <v>5</v>
      </c>
      <c r="BF16" s="27">
        <f t="shared" si="11"/>
        <v>4.75</v>
      </c>
      <c r="BG16">
        <v>5</v>
      </c>
      <c r="BH16">
        <v>5</v>
      </c>
      <c r="BI16">
        <v>3</v>
      </c>
      <c r="BJ16" s="27">
        <f t="shared" si="12"/>
        <v>4.66666666666667</v>
      </c>
      <c r="BK16" s="8">
        <f t="shared" si="13"/>
        <v>4.71428571428571</v>
      </c>
      <c r="BM16" s="7">
        <v>4</v>
      </c>
      <c r="BN16">
        <v>2</v>
      </c>
      <c r="BO16" s="8">
        <f t="shared" si="14"/>
        <v>6</v>
      </c>
      <c r="BP16" s="7">
        <v>1</v>
      </c>
      <c r="BQ16">
        <v>3</v>
      </c>
      <c r="BR16" s="8">
        <f t="shared" si="15"/>
        <v>4</v>
      </c>
      <c r="BS16">
        <f t="shared" si="16"/>
        <v>-2</v>
      </c>
      <c r="BU16" s="2">
        <v>2</v>
      </c>
      <c r="BV16" s="2">
        <v>2</v>
      </c>
      <c r="BW16" s="2">
        <v>2</v>
      </c>
      <c r="BX16" s="2">
        <v>0</v>
      </c>
      <c r="BY16" s="2">
        <v>16</v>
      </c>
      <c r="BZ16" s="2">
        <v>2</v>
      </c>
      <c r="CA16" s="2">
        <v>0</v>
      </c>
      <c r="CB16" s="2">
        <v>1</v>
      </c>
      <c r="CC16" s="2">
        <v>1</v>
      </c>
      <c r="CD16" s="2">
        <v>3</v>
      </c>
      <c r="CE16" s="2">
        <v>0</v>
      </c>
      <c r="CF16" s="2">
        <v>1</v>
      </c>
      <c r="CG16" s="2">
        <v>1</v>
      </c>
      <c r="CH16" s="2">
        <v>4</v>
      </c>
      <c r="CJ16" s="2">
        <v>432.8691</v>
      </c>
    </row>
    <row r="17" ht="14.5" spans="1:88">
      <c r="A17" t="s">
        <v>104</v>
      </c>
      <c r="B17">
        <v>16</v>
      </c>
      <c r="C17" t="s">
        <v>91</v>
      </c>
      <c r="D17" t="s">
        <v>84</v>
      </c>
      <c r="E17" t="s">
        <v>85</v>
      </c>
      <c r="F17" t="s">
        <v>86</v>
      </c>
      <c r="G17" t="s">
        <v>87</v>
      </c>
      <c r="H17" t="s">
        <v>86</v>
      </c>
      <c r="J17" s="7">
        <v>2</v>
      </c>
      <c r="K17">
        <v>2</v>
      </c>
      <c r="L17" s="27">
        <f t="shared" si="0"/>
        <v>2</v>
      </c>
      <c r="M17">
        <v>2</v>
      </c>
      <c r="N17">
        <v>4</v>
      </c>
      <c r="O17">
        <v>6</v>
      </c>
      <c r="P17" s="27">
        <f t="shared" si="1"/>
        <v>4</v>
      </c>
      <c r="Q17">
        <v>2</v>
      </c>
      <c r="R17">
        <v>2</v>
      </c>
      <c r="S17">
        <v>2</v>
      </c>
      <c r="T17" s="27">
        <f t="shared" si="2"/>
        <v>2</v>
      </c>
      <c r="U17" s="8">
        <f t="shared" si="3"/>
        <v>2.75</v>
      </c>
      <c r="W17" s="28">
        <v>7</v>
      </c>
      <c r="X17">
        <v>4</v>
      </c>
      <c r="Y17">
        <v>4</v>
      </c>
      <c r="Z17">
        <v>4</v>
      </c>
      <c r="AA17">
        <v>4</v>
      </c>
      <c r="AB17">
        <v>4</v>
      </c>
      <c r="AC17" s="27">
        <f t="shared" si="4"/>
        <v>3.8</v>
      </c>
      <c r="AD17">
        <v>7</v>
      </c>
      <c r="AE17">
        <v>4</v>
      </c>
      <c r="AF17">
        <v>4</v>
      </c>
      <c r="AG17">
        <v>6</v>
      </c>
      <c r="AH17" s="27">
        <f t="shared" si="5"/>
        <v>5</v>
      </c>
      <c r="AI17">
        <v>4</v>
      </c>
      <c r="AJ17">
        <v>4</v>
      </c>
      <c r="AK17">
        <v>6</v>
      </c>
      <c r="AL17">
        <v>4</v>
      </c>
      <c r="AM17" s="27">
        <f t="shared" si="6"/>
        <v>4.25</v>
      </c>
      <c r="AN17" s="8">
        <f t="shared" si="7"/>
        <v>4.5</v>
      </c>
      <c r="AP17" s="7">
        <v>4</v>
      </c>
      <c r="AQ17">
        <v>5</v>
      </c>
      <c r="AR17">
        <v>6</v>
      </c>
      <c r="AS17">
        <v>6</v>
      </c>
      <c r="AT17" s="27">
        <f t="shared" si="8"/>
        <v>5.25</v>
      </c>
      <c r="AU17">
        <v>6</v>
      </c>
      <c r="AV17">
        <v>6</v>
      </c>
      <c r="AW17">
        <v>6</v>
      </c>
      <c r="AX17">
        <v>6</v>
      </c>
      <c r="AY17" s="27">
        <f t="shared" si="9"/>
        <v>6</v>
      </c>
      <c r="AZ17" s="8">
        <f t="shared" si="10"/>
        <v>5.625</v>
      </c>
      <c r="BB17" s="7">
        <v>6</v>
      </c>
      <c r="BC17">
        <v>5</v>
      </c>
      <c r="BD17" s="16">
        <v>3</v>
      </c>
      <c r="BE17">
        <v>6</v>
      </c>
      <c r="BF17" s="27">
        <f t="shared" si="11"/>
        <v>5.25</v>
      </c>
      <c r="BG17">
        <v>7</v>
      </c>
      <c r="BH17">
        <v>7</v>
      </c>
      <c r="BI17">
        <v>2</v>
      </c>
      <c r="BJ17" s="27">
        <f t="shared" si="12"/>
        <v>6.33333333333333</v>
      </c>
      <c r="BK17" s="8">
        <f t="shared" si="13"/>
        <v>5.71428571428571</v>
      </c>
      <c r="BM17" s="7">
        <v>5</v>
      </c>
      <c r="BN17">
        <v>2</v>
      </c>
      <c r="BO17" s="8">
        <f t="shared" si="14"/>
        <v>7</v>
      </c>
      <c r="BP17" s="7">
        <v>5</v>
      </c>
      <c r="BQ17">
        <v>3</v>
      </c>
      <c r="BR17" s="8">
        <f t="shared" si="15"/>
        <v>8</v>
      </c>
      <c r="BS17">
        <f t="shared" si="16"/>
        <v>1</v>
      </c>
      <c r="BU17" s="2">
        <v>1</v>
      </c>
      <c r="BV17" s="2">
        <v>0</v>
      </c>
      <c r="BW17" s="2">
        <v>0</v>
      </c>
      <c r="BX17" s="2">
        <v>0</v>
      </c>
      <c r="BY17" s="2">
        <v>15</v>
      </c>
      <c r="BZ17" s="2">
        <v>1</v>
      </c>
      <c r="CA17" s="2">
        <v>0</v>
      </c>
      <c r="CB17" s="2">
        <v>1</v>
      </c>
      <c r="CC17" s="2">
        <v>1</v>
      </c>
      <c r="CD17" s="2">
        <v>0</v>
      </c>
      <c r="CE17" s="2">
        <v>0</v>
      </c>
      <c r="CF17" s="2">
        <v>1</v>
      </c>
      <c r="CG17" s="2">
        <v>1</v>
      </c>
      <c r="CH17" s="2">
        <v>3</v>
      </c>
      <c r="CJ17" s="2">
        <v>339.9698</v>
      </c>
    </row>
    <row r="18" s="26" customFormat="1" ht="14.5" spans="1:88">
      <c r="A18" s="26" t="s">
        <v>105</v>
      </c>
      <c r="B18" s="26">
        <v>16</v>
      </c>
      <c r="C18" s="26" t="s">
        <v>83</v>
      </c>
      <c r="D18" s="26" t="s">
        <v>89</v>
      </c>
      <c r="E18" s="26" t="s">
        <v>85</v>
      </c>
      <c r="F18" s="26" t="s">
        <v>86</v>
      </c>
      <c r="G18" s="26" t="s">
        <v>87</v>
      </c>
      <c r="H18" s="26" t="s">
        <v>86</v>
      </c>
      <c r="J18" s="41">
        <v>4</v>
      </c>
      <c r="K18" s="26">
        <v>2</v>
      </c>
      <c r="L18" s="27">
        <f t="shared" si="0"/>
        <v>3</v>
      </c>
      <c r="M18" s="26">
        <v>6</v>
      </c>
      <c r="N18" s="26">
        <v>7</v>
      </c>
      <c r="O18" s="26">
        <v>7</v>
      </c>
      <c r="P18" s="27">
        <f t="shared" si="1"/>
        <v>6.66666666666667</v>
      </c>
      <c r="Q18" s="26">
        <v>2</v>
      </c>
      <c r="R18" s="26">
        <v>1</v>
      </c>
      <c r="S18" s="26">
        <v>1</v>
      </c>
      <c r="T18" s="27">
        <f t="shared" si="2"/>
        <v>1.33333333333333</v>
      </c>
      <c r="U18" s="42">
        <f t="shared" si="3"/>
        <v>3.75</v>
      </c>
      <c r="W18" s="28">
        <v>7</v>
      </c>
      <c r="X18" s="26">
        <v>5</v>
      </c>
      <c r="Y18" s="26">
        <v>3</v>
      </c>
      <c r="Z18" s="26">
        <v>7</v>
      </c>
      <c r="AA18" s="26">
        <v>7</v>
      </c>
      <c r="AB18" s="26">
        <v>7</v>
      </c>
      <c r="AC18" s="27">
        <f t="shared" si="4"/>
        <v>6</v>
      </c>
      <c r="AD18" s="26">
        <v>1</v>
      </c>
      <c r="AE18" s="26">
        <v>1</v>
      </c>
      <c r="AF18" s="26">
        <v>7</v>
      </c>
      <c r="AG18" s="26">
        <v>3</v>
      </c>
      <c r="AH18" s="27">
        <f t="shared" si="5"/>
        <v>1.25</v>
      </c>
      <c r="AI18" s="26">
        <v>1</v>
      </c>
      <c r="AJ18" s="26">
        <v>6</v>
      </c>
      <c r="AK18" s="26">
        <v>5</v>
      </c>
      <c r="AL18" s="26">
        <v>3</v>
      </c>
      <c r="AM18" s="27">
        <f t="shared" si="6"/>
        <v>5</v>
      </c>
      <c r="AN18" s="42">
        <f t="shared" si="7"/>
        <v>4.42857142857143</v>
      </c>
      <c r="AP18" s="41">
        <v>5</v>
      </c>
      <c r="AQ18" s="26">
        <v>5</v>
      </c>
      <c r="AR18" s="26">
        <v>7</v>
      </c>
      <c r="AS18" s="26">
        <v>5</v>
      </c>
      <c r="AT18" s="27">
        <f t="shared" si="8"/>
        <v>5.5</v>
      </c>
      <c r="AU18" s="26">
        <v>7</v>
      </c>
      <c r="AV18" s="26">
        <v>7</v>
      </c>
      <c r="AW18" s="26">
        <v>7</v>
      </c>
      <c r="AX18" s="26">
        <v>7</v>
      </c>
      <c r="AY18" s="27">
        <f t="shared" si="9"/>
        <v>7</v>
      </c>
      <c r="AZ18" s="42">
        <f t="shared" si="10"/>
        <v>6.25</v>
      </c>
      <c r="BB18" s="43">
        <v>5</v>
      </c>
      <c r="BC18" s="44">
        <v>2</v>
      </c>
      <c r="BD18" s="26">
        <v>5</v>
      </c>
      <c r="BE18" s="45">
        <v>1</v>
      </c>
      <c r="BF18" s="27">
        <f t="shared" si="11"/>
        <v>2.5</v>
      </c>
      <c r="BG18" s="26">
        <v>7</v>
      </c>
      <c r="BH18" s="26">
        <v>7</v>
      </c>
      <c r="BI18" s="26">
        <v>1</v>
      </c>
      <c r="BJ18" s="27">
        <f t="shared" si="12"/>
        <v>6.66666666666667</v>
      </c>
      <c r="BK18" s="42">
        <f t="shared" si="13"/>
        <v>4.28571428571429</v>
      </c>
      <c r="BM18" s="41">
        <v>5</v>
      </c>
      <c r="BN18" s="26">
        <v>5</v>
      </c>
      <c r="BO18" s="42">
        <f t="shared" si="14"/>
        <v>10</v>
      </c>
      <c r="BP18" s="41">
        <v>5</v>
      </c>
      <c r="BQ18" s="26">
        <v>5</v>
      </c>
      <c r="BR18" s="42">
        <f t="shared" si="15"/>
        <v>10</v>
      </c>
      <c r="BS18" s="26">
        <f t="shared" si="16"/>
        <v>0</v>
      </c>
      <c r="BU18" s="46">
        <v>1</v>
      </c>
      <c r="BV18" s="46">
        <v>1</v>
      </c>
      <c r="BW18" s="46">
        <v>1</v>
      </c>
      <c r="BX18" s="46">
        <v>0</v>
      </c>
      <c r="BY18" s="46">
        <v>15</v>
      </c>
      <c r="BZ18" s="46">
        <v>1</v>
      </c>
      <c r="CA18" s="46">
        <v>0</v>
      </c>
      <c r="CB18" s="46">
        <v>0</v>
      </c>
      <c r="CC18" s="46">
        <v>1</v>
      </c>
      <c r="CD18" s="46">
        <v>0</v>
      </c>
      <c r="CE18" s="46">
        <v>0</v>
      </c>
      <c r="CF18" s="46">
        <v>0</v>
      </c>
      <c r="CG18" s="46">
        <v>1</v>
      </c>
      <c r="CH18" s="46">
        <v>1</v>
      </c>
      <c r="CJ18" s="46">
        <v>283.5974</v>
      </c>
    </row>
    <row r="19" s="26" customFormat="1" ht="14.5" spans="1:88">
      <c r="A19" s="26" t="s">
        <v>106</v>
      </c>
      <c r="B19" s="26">
        <v>16</v>
      </c>
      <c r="C19" s="26" t="s">
        <v>91</v>
      </c>
      <c r="D19" s="26" t="s">
        <v>89</v>
      </c>
      <c r="E19" s="26" t="s">
        <v>85</v>
      </c>
      <c r="F19" s="26" t="s">
        <v>87</v>
      </c>
      <c r="G19" s="26" t="s">
        <v>87</v>
      </c>
      <c r="H19" s="26" t="s">
        <v>86</v>
      </c>
      <c r="J19" s="41">
        <v>5</v>
      </c>
      <c r="K19" s="26">
        <v>3</v>
      </c>
      <c r="L19" s="27">
        <f t="shared" si="0"/>
        <v>4</v>
      </c>
      <c r="M19" s="26">
        <v>5</v>
      </c>
      <c r="N19" s="26">
        <v>5</v>
      </c>
      <c r="O19" s="26">
        <v>6</v>
      </c>
      <c r="P19" s="27">
        <f t="shared" si="1"/>
        <v>5.33333333333333</v>
      </c>
      <c r="Q19" s="26">
        <v>2</v>
      </c>
      <c r="R19" s="26">
        <v>2</v>
      </c>
      <c r="S19" s="26">
        <v>2</v>
      </c>
      <c r="T19" s="27">
        <f t="shared" si="2"/>
        <v>2</v>
      </c>
      <c r="U19" s="42">
        <f t="shared" si="3"/>
        <v>3.75</v>
      </c>
      <c r="W19" s="28">
        <v>6</v>
      </c>
      <c r="X19" s="26">
        <v>5</v>
      </c>
      <c r="Y19" s="26">
        <v>3</v>
      </c>
      <c r="Z19" s="26">
        <v>1</v>
      </c>
      <c r="AA19" s="26">
        <v>4</v>
      </c>
      <c r="AB19" s="26">
        <v>5</v>
      </c>
      <c r="AC19" s="27">
        <f t="shared" si="4"/>
        <v>3.8</v>
      </c>
      <c r="AD19" s="26">
        <v>3</v>
      </c>
      <c r="AE19" s="26">
        <v>2</v>
      </c>
      <c r="AF19" s="26">
        <v>3</v>
      </c>
      <c r="AG19" s="26">
        <v>3</v>
      </c>
      <c r="AH19" s="27">
        <f t="shared" si="5"/>
        <v>3</v>
      </c>
      <c r="AI19" s="26">
        <v>6</v>
      </c>
      <c r="AJ19" s="26">
        <v>5</v>
      </c>
      <c r="AK19" s="26">
        <v>5</v>
      </c>
      <c r="AL19" s="26">
        <v>2</v>
      </c>
      <c r="AM19" s="27">
        <f t="shared" si="6"/>
        <v>3.25</v>
      </c>
      <c r="AN19" s="42">
        <f t="shared" si="7"/>
        <v>3.57142857142857</v>
      </c>
      <c r="AP19" s="41">
        <v>5</v>
      </c>
      <c r="AQ19" s="26">
        <v>5</v>
      </c>
      <c r="AR19" s="26">
        <v>4</v>
      </c>
      <c r="AS19" s="26">
        <v>5</v>
      </c>
      <c r="AT19" s="27">
        <f t="shared" si="8"/>
        <v>4.75</v>
      </c>
      <c r="AU19" s="26">
        <v>6</v>
      </c>
      <c r="AV19" s="26">
        <v>6</v>
      </c>
      <c r="AW19" s="26">
        <v>6</v>
      </c>
      <c r="AX19" s="26">
        <v>6</v>
      </c>
      <c r="AY19" s="27">
        <f t="shared" si="9"/>
        <v>6</v>
      </c>
      <c r="AZ19" s="42">
        <f t="shared" si="10"/>
        <v>5.375</v>
      </c>
      <c r="BB19" s="41">
        <v>5</v>
      </c>
      <c r="BC19" s="45">
        <v>2</v>
      </c>
      <c r="BD19" s="26">
        <v>6</v>
      </c>
      <c r="BE19" s="45">
        <v>2</v>
      </c>
      <c r="BF19" s="27">
        <f t="shared" si="11"/>
        <v>2.5</v>
      </c>
      <c r="BG19" s="26">
        <v>5</v>
      </c>
      <c r="BH19" s="26">
        <v>5</v>
      </c>
      <c r="BI19" s="26">
        <v>1</v>
      </c>
      <c r="BJ19" s="27">
        <f t="shared" si="12"/>
        <v>5.33333333333333</v>
      </c>
      <c r="BK19" s="42">
        <f t="shared" si="13"/>
        <v>3.71428571428571</v>
      </c>
      <c r="BM19" s="41">
        <v>2</v>
      </c>
      <c r="BN19" s="26">
        <v>3</v>
      </c>
      <c r="BO19" s="42">
        <f t="shared" si="14"/>
        <v>5</v>
      </c>
      <c r="BP19" s="41">
        <v>2</v>
      </c>
      <c r="BQ19" s="26">
        <v>3</v>
      </c>
      <c r="BR19" s="42">
        <f t="shared" si="15"/>
        <v>5</v>
      </c>
      <c r="BS19" s="26">
        <f t="shared" si="16"/>
        <v>0</v>
      </c>
      <c r="BU19" s="46">
        <v>1</v>
      </c>
      <c r="BV19" s="46">
        <v>1</v>
      </c>
      <c r="BW19" s="46">
        <v>1</v>
      </c>
      <c r="BX19" s="46">
        <v>0</v>
      </c>
      <c r="BY19" s="46">
        <v>15</v>
      </c>
      <c r="BZ19" s="46">
        <v>1</v>
      </c>
      <c r="CA19" s="46">
        <v>0</v>
      </c>
      <c r="CB19" s="46">
        <v>0</v>
      </c>
      <c r="CC19" s="46">
        <v>1</v>
      </c>
      <c r="CD19" s="46">
        <v>0</v>
      </c>
      <c r="CE19" s="46">
        <v>0</v>
      </c>
      <c r="CF19" s="46">
        <v>1</v>
      </c>
      <c r="CG19" s="46">
        <v>1</v>
      </c>
      <c r="CH19" s="46">
        <v>2</v>
      </c>
      <c r="CJ19" s="46">
        <v>288.9308</v>
      </c>
    </row>
    <row r="20" s="26" customFormat="1" ht="14.5" spans="1:88">
      <c r="A20" s="26" t="s">
        <v>107</v>
      </c>
      <c r="B20" s="26">
        <v>16</v>
      </c>
      <c r="C20" s="26" t="s">
        <v>91</v>
      </c>
      <c r="D20" s="26" t="s">
        <v>89</v>
      </c>
      <c r="E20" s="26" t="s">
        <v>108</v>
      </c>
      <c r="F20" s="26" t="s">
        <v>86</v>
      </c>
      <c r="G20" s="26" t="s">
        <v>86</v>
      </c>
      <c r="H20" s="26" t="s">
        <v>86</v>
      </c>
      <c r="J20" s="41">
        <v>3</v>
      </c>
      <c r="K20" s="26">
        <v>3</v>
      </c>
      <c r="L20" s="27">
        <f t="shared" si="0"/>
        <v>3</v>
      </c>
      <c r="M20" s="26">
        <v>7</v>
      </c>
      <c r="N20" s="26">
        <v>7</v>
      </c>
      <c r="O20" s="26">
        <v>7</v>
      </c>
      <c r="P20" s="27">
        <f t="shared" si="1"/>
        <v>7</v>
      </c>
      <c r="Q20" s="26">
        <v>1</v>
      </c>
      <c r="R20" s="26">
        <v>1</v>
      </c>
      <c r="S20" s="26">
        <v>1</v>
      </c>
      <c r="T20" s="27">
        <f t="shared" si="2"/>
        <v>1</v>
      </c>
      <c r="U20" s="42">
        <f t="shared" si="3"/>
        <v>3.75</v>
      </c>
      <c r="W20" s="28">
        <v>7</v>
      </c>
      <c r="X20" s="26">
        <v>7</v>
      </c>
      <c r="Y20" s="26">
        <v>2</v>
      </c>
      <c r="Z20" s="26">
        <v>2</v>
      </c>
      <c r="AA20" s="26">
        <v>7</v>
      </c>
      <c r="AB20" s="26">
        <v>7</v>
      </c>
      <c r="AC20" s="27">
        <f t="shared" si="4"/>
        <v>5.6</v>
      </c>
      <c r="AD20" s="26">
        <v>5</v>
      </c>
      <c r="AE20" s="26">
        <v>2</v>
      </c>
      <c r="AF20" s="26">
        <v>3</v>
      </c>
      <c r="AG20" s="26">
        <v>7</v>
      </c>
      <c r="AH20" s="27">
        <f t="shared" si="5"/>
        <v>4.5</v>
      </c>
      <c r="AI20" s="26">
        <v>1</v>
      </c>
      <c r="AJ20" s="26">
        <v>4</v>
      </c>
      <c r="AK20" s="26">
        <v>5</v>
      </c>
      <c r="AL20" s="26">
        <v>1</v>
      </c>
      <c r="AM20" s="27">
        <f t="shared" si="6"/>
        <v>4</v>
      </c>
      <c r="AN20" s="42">
        <f t="shared" si="7"/>
        <v>4.92857142857143</v>
      </c>
      <c r="AP20" s="41">
        <v>3</v>
      </c>
      <c r="AQ20" s="26">
        <v>3</v>
      </c>
      <c r="AR20" s="26">
        <v>7</v>
      </c>
      <c r="AS20" s="47">
        <v>3</v>
      </c>
      <c r="AT20" s="27">
        <f t="shared" si="8"/>
        <v>4</v>
      </c>
      <c r="AU20" s="26">
        <v>6</v>
      </c>
      <c r="AV20" s="26">
        <v>6</v>
      </c>
      <c r="AW20" s="26">
        <v>6</v>
      </c>
      <c r="AX20" s="26">
        <v>6</v>
      </c>
      <c r="AY20" s="27">
        <f t="shared" si="9"/>
        <v>6</v>
      </c>
      <c r="AZ20" s="42">
        <f t="shared" si="10"/>
        <v>5</v>
      </c>
      <c r="BB20" s="41">
        <v>6</v>
      </c>
      <c r="BC20" s="45">
        <v>1</v>
      </c>
      <c r="BD20" s="26">
        <v>7</v>
      </c>
      <c r="BE20" s="45">
        <v>1</v>
      </c>
      <c r="BF20" s="27">
        <f t="shared" si="11"/>
        <v>2</v>
      </c>
      <c r="BG20" s="26">
        <v>7</v>
      </c>
      <c r="BH20" s="26">
        <v>6</v>
      </c>
      <c r="BI20" s="26">
        <v>1</v>
      </c>
      <c r="BJ20" s="27">
        <f t="shared" si="12"/>
        <v>6.33333333333333</v>
      </c>
      <c r="BK20" s="42">
        <f t="shared" si="13"/>
        <v>3.85714285714286</v>
      </c>
      <c r="BM20" s="41">
        <v>3</v>
      </c>
      <c r="BN20" s="26">
        <v>1</v>
      </c>
      <c r="BO20" s="42">
        <f t="shared" si="14"/>
        <v>4</v>
      </c>
      <c r="BP20" s="41">
        <v>5</v>
      </c>
      <c r="BQ20" s="26">
        <v>4</v>
      </c>
      <c r="BR20" s="42">
        <f t="shared" si="15"/>
        <v>9</v>
      </c>
      <c r="BS20" s="26">
        <f t="shared" si="16"/>
        <v>5</v>
      </c>
      <c r="BU20" s="46">
        <v>1</v>
      </c>
      <c r="BV20" s="46">
        <v>4</v>
      </c>
      <c r="BW20" s="46">
        <v>0</v>
      </c>
      <c r="BX20" s="46">
        <v>1</v>
      </c>
      <c r="BY20" s="46">
        <v>16</v>
      </c>
      <c r="BZ20" s="46">
        <v>1</v>
      </c>
      <c r="CA20" s="46">
        <v>1</v>
      </c>
      <c r="CB20" s="46">
        <v>1</v>
      </c>
      <c r="CC20" s="46">
        <v>3</v>
      </c>
      <c r="CD20" s="46">
        <v>3</v>
      </c>
      <c r="CE20" s="46">
        <v>1</v>
      </c>
      <c r="CF20" s="46">
        <v>1</v>
      </c>
      <c r="CG20" s="46">
        <v>3</v>
      </c>
      <c r="CH20" s="46">
        <v>3</v>
      </c>
      <c r="CJ20" s="46">
        <v>547.3746</v>
      </c>
    </row>
    <row r="21" s="26" customFormat="1" ht="14.5" spans="1:88">
      <c r="A21" s="26" t="s">
        <v>109</v>
      </c>
      <c r="B21" s="26">
        <v>16</v>
      </c>
      <c r="C21" s="26" t="s">
        <v>83</v>
      </c>
      <c r="D21" s="26" t="s">
        <v>89</v>
      </c>
      <c r="E21" s="26" t="s">
        <v>85</v>
      </c>
      <c r="F21" s="26" t="s">
        <v>86</v>
      </c>
      <c r="G21" s="26" t="s">
        <v>86</v>
      </c>
      <c r="H21" s="26" t="s">
        <v>86</v>
      </c>
      <c r="J21" s="41">
        <v>3</v>
      </c>
      <c r="K21" s="26">
        <v>3</v>
      </c>
      <c r="L21" s="27">
        <f t="shared" si="0"/>
        <v>3</v>
      </c>
      <c r="M21" s="26">
        <v>7</v>
      </c>
      <c r="N21" s="26">
        <v>7</v>
      </c>
      <c r="O21" s="26">
        <v>7</v>
      </c>
      <c r="P21" s="27">
        <f t="shared" si="1"/>
        <v>7</v>
      </c>
      <c r="Q21" s="26">
        <v>7</v>
      </c>
      <c r="R21" s="26">
        <v>1</v>
      </c>
      <c r="S21" s="26">
        <v>2</v>
      </c>
      <c r="T21" s="27">
        <f t="shared" si="2"/>
        <v>3.33333333333333</v>
      </c>
      <c r="U21" s="42">
        <f t="shared" si="3"/>
        <v>4.625</v>
      </c>
      <c r="W21" s="28">
        <v>7</v>
      </c>
      <c r="X21" s="26">
        <v>7</v>
      </c>
      <c r="Y21" s="26">
        <v>1</v>
      </c>
      <c r="Z21" s="26">
        <v>4</v>
      </c>
      <c r="AA21" s="26">
        <v>4</v>
      </c>
      <c r="AB21" s="26">
        <v>6</v>
      </c>
      <c r="AC21" s="27">
        <f t="shared" si="4"/>
        <v>5.4</v>
      </c>
      <c r="AD21" s="26">
        <v>6</v>
      </c>
      <c r="AE21" s="26">
        <v>2</v>
      </c>
      <c r="AF21" s="26">
        <v>6</v>
      </c>
      <c r="AG21" s="26">
        <v>5</v>
      </c>
      <c r="AH21" s="27">
        <f t="shared" si="5"/>
        <v>3.5</v>
      </c>
      <c r="AI21" s="26">
        <v>5</v>
      </c>
      <c r="AJ21" s="26">
        <v>4</v>
      </c>
      <c r="AK21" s="26">
        <v>5</v>
      </c>
      <c r="AL21" s="26">
        <v>3</v>
      </c>
      <c r="AM21" s="27">
        <f t="shared" si="6"/>
        <v>3.5</v>
      </c>
      <c r="AN21" s="42">
        <f t="shared" si="7"/>
        <v>4.42857142857143</v>
      </c>
      <c r="AP21" s="41">
        <v>1</v>
      </c>
      <c r="AQ21" s="26">
        <v>1</v>
      </c>
      <c r="AR21" s="26">
        <v>2</v>
      </c>
      <c r="AS21" s="26">
        <v>1</v>
      </c>
      <c r="AT21" s="27">
        <f t="shared" si="8"/>
        <v>1.25</v>
      </c>
      <c r="AU21" s="26">
        <v>7</v>
      </c>
      <c r="AV21" s="26">
        <v>7</v>
      </c>
      <c r="AW21" s="26">
        <v>7</v>
      </c>
      <c r="AX21" s="26">
        <v>7</v>
      </c>
      <c r="AY21" s="27">
        <f t="shared" si="9"/>
        <v>7</v>
      </c>
      <c r="AZ21" s="42">
        <f t="shared" si="10"/>
        <v>4.125</v>
      </c>
      <c r="BB21" s="41">
        <v>7</v>
      </c>
      <c r="BC21" s="45">
        <v>1</v>
      </c>
      <c r="BD21" s="26">
        <v>7</v>
      </c>
      <c r="BE21" s="45">
        <v>1</v>
      </c>
      <c r="BF21" s="27">
        <f t="shared" si="11"/>
        <v>2.25</v>
      </c>
      <c r="BG21" s="26">
        <v>7</v>
      </c>
      <c r="BH21" s="26">
        <v>7</v>
      </c>
      <c r="BI21" s="26">
        <v>1</v>
      </c>
      <c r="BJ21" s="27">
        <f t="shared" si="12"/>
        <v>6.66666666666667</v>
      </c>
      <c r="BK21" s="42">
        <f t="shared" si="13"/>
        <v>4.14285714285714</v>
      </c>
      <c r="BM21" s="41">
        <v>3</v>
      </c>
      <c r="BN21" s="26">
        <v>0</v>
      </c>
      <c r="BO21" s="42">
        <f t="shared" si="14"/>
        <v>3</v>
      </c>
      <c r="BP21" s="41">
        <v>5</v>
      </c>
      <c r="BQ21" s="26">
        <v>4</v>
      </c>
      <c r="BR21" s="42">
        <f t="shared" si="15"/>
        <v>9</v>
      </c>
      <c r="BS21" s="26">
        <f t="shared" si="16"/>
        <v>6</v>
      </c>
      <c r="BU21" s="46">
        <v>3</v>
      </c>
      <c r="BV21" s="46">
        <v>0</v>
      </c>
      <c r="BW21" s="46">
        <v>0</v>
      </c>
      <c r="BX21" s="46">
        <v>1</v>
      </c>
      <c r="BY21" s="46">
        <v>17</v>
      </c>
      <c r="BZ21" s="46">
        <v>1</v>
      </c>
      <c r="CA21" s="46">
        <v>0</v>
      </c>
      <c r="CB21" s="46">
        <v>0</v>
      </c>
      <c r="CC21" s="46">
        <v>2</v>
      </c>
      <c r="CD21" s="46">
        <v>0</v>
      </c>
      <c r="CE21" s="46">
        <v>0</v>
      </c>
      <c r="CF21" s="46">
        <v>0</v>
      </c>
      <c r="CG21" s="46">
        <v>1</v>
      </c>
      <c r="CH21" s="46">
        <v>1</v>
      </c>
      <c r="CJ21" s="46">
        <v>247.0024</v>
      </c>
    </row>
    <row r="22" s="26" customFormat="1" ht="14.5" spans="1:88">
      <c r="A22" s="26" t="s">
        <v>110</v>
      </c>
      <c r="B22" s="26">
        <v>17</v>
      </c>
      <c r="C22" s="26" t="s">
        <v>91</v>
      </c>
      <c r="D22" s="26" t="s">
        <v>89</v>
      </c>
      <c r="E22" s="26" t="s">
        <v>85</v>
      </c>
      <c r="F22" s="26" t="s">
        <v>87</v>
      </c>
      <c r="G22" s="26" t="s">
        <v>87</v>
      </c>
      <c r="H22" s="26" t="s">
        <v>87</v>
      </c>
      <c r="J22" s="41">
        <v>3</v>
      </c>
      <c r="K22" s="26">
        <v>2</v>
      </c>
      <c r="L22" s="27">
        <f t="shared" si="0"/>
        <v>2.5</v>
      </c>
      <c r="M22" s="26">
        <v>7</v>
      </c>
      <c r="N22" s="26">
        <v>2</v>
      </c>
      <c r="O22" s="26">
        <v>7</v>
      </c>
      <c r="P22" s="27">
        <f t="shared" si="1"/>
        <v>5.33333333333333</v>
      </c>
      <c r="Q22" s="26">
        <v>1</v>
      </c>
      <c r="R22" s="26">
        <v>1</v>
      </c>
      <c r="S22" s="26">
        <v>1</v>
      </c>
      <c r="T22" s="27">
        <f t="shared" si="2"/>
        <v>1</v>
      </c>
      <c r="U22" s="42">
        <f t="shared" si="3"/>
        <v>3</v>
      </c>
      <c r="W22" s="28">
        <v>7</v>
      </c>
      <c r="X22" s="26">
        <v>7</v>
      </c>
      <c r="Y22" s="26">
        <v>2</v>
      </c>
      <c r="Z22" s="26">
        <v>1</v>
      </c>
      <c r="AA22" s="26">
        <v>6</v>
      </c>
      <c r="AB22" s="26">
        <v>4</v>
      </c>
      <c r="AC22" s="27">
        <f t="shared" si="4"/>
        <v>4.6</v>
      </c>
      <c r="AD22" s="26">
        <v>2</v>
      </c>
      <c r="AE22" s="26">
        <v>1</v>
      </c>
      <c r="AF22" s="26">
        <v>6</v>
      </c>
      <c r="AG22" s="26">
        <v>1</v>
      </c>
      <c r="AH22" s="27">
        <f t="shared" si="5"/>
        <v>1.25</v>
      </c>
      <c r="AI22" s="26">
        <v>4</v>
      </c>
      <c r="AJ22" s="26">
        <v>4</v>
      </c>
      <c r="AK22" s="26">
        <v>4</v>
      </c>
      <c r="AL22" s="26">
        <v>1</v>
      </c>
      <c r="AM22" s="27">
        <f t="shared" si="6"/>
        <v>3</v>
      </c>
      <c r="AN22" s="42">
        <f t="shared" si="7"/>
        <v>3.35714285714286</v>
      </c>
      <c r="AP22" s="41">
        <v>2</v>
      </c>
      <c r="AQ22" s="26">
        <v>4</v>
      </c>
      <c r="AR22" s="26">
        <v>4</v>
      </c>
      <c r="AS22" s="26">
        <v>2</v>
      </c>
      <c r="AT22" s="27">
        <f t="shared" si="8"/>
        <v>3</v>
      </c>
      <c r="AU22" s="26">
        <v>1</v>
      </c>
      <c r="AV22" s="26">
        <v>5</v>
      </c>
      <c r="AW22" s="26">
        <v>5</v>
      </c>
      <c r="AX22" s="26">
        <v>3</v>
      </c>
      <c r="AY22" s="27">
        <f t="shared" si="9"/>
        <v>3.5</v>
      </c>
      <c r="AZ22" s="42">
        <f t="shared" si="10"/>
        <v>3.25</v>
      </c>
      <c r="BB22" s="41">
        <v>4</v>
      </c>
      <c r="BC22" s="26">
        <v>4</v>
      </c>
      <c r="BD22" s="26">
        <v>4</v>
      </c>
      <c r="BE22" s="26">
        <v>4</v>
      </c>
      <c r="BF22" s="27">
        <f t="shared" si="11"/>
        <v>3.75</v>
      </c>
      <c r="BG22" s="26">
        <v>7</v>
      </c>
      <c r="BH22" s="26">
        <v>7</v>
      </c>
      <c r="BI22" s="26">
        <v>1</v>
      </c>
      <c r="BJ22" s="27">
        <f t="shared" si="12"/>
        <v>6.66666666666667</v>
      </c>
      <c r="BK22" s="42">
        <f t="shared" si="13"/>
        <v>5</v>
      </c>
      <c r="BM22" s="41">
        <v>3</v>
      </c>
      <c r="BN22" s="26">
        <v>5</v>
      </c>
      <c r="BO22" s="42">
        <f t="shared" si="14"/>
        <v>8</v>
      </c>
      <c r="BP22" s="41">
        <v>4</v>
      </c>
      <c r="BQ22" s="26">
        <v>5</v>
      </c>
      <c r="BR22" s="42">
        <f t="shared" si="15"/>
        <v>9</v>
      </c>
      <c r="BS22" s="26">
        <f t="shared" si="16"/>
        <v>1</v>
      </c>
      <c r="BU22" s="46">
        <v>1</v>
      </c>
      <c r="BV22" s="46">
        <v>2</v>
      </c>
      <c r="BW22" s="46">
        <v>2</v>
      </c>
      <c r="BX22" s="46">
        <v>0</v>
      </c>
      <c r="BY22" s="46">
        <v>15</v>
      </c>
      <c r="BZ22" s="46">
        <v>1</v>
      </c>
      <c r="CA22" s="46">
        <v>7</v>
      </c>
      <c r="CB22" s="46">
        <v>4</v>
      </c>
      <c r="CC22" s="46">
        <v>5</v>
      </c>
      <c r="CD22" s="46">
        <v>1</v>
      </c>
      <c r="CE22" s="46">
        <v>7</v>
      </c>
      <c r="CF22" s="46">
        <v>5</v>
      </c>
      <c r="CG22" s="46">
        <v>7</v>
      </c>
      <c r="CH22" s="46">
        <v>3</v>
      </c>
      <c r="CJ22" s="46">
        <v>413.3324</v>
      </c>
    </row>
    <row r="23" s="26" customFormat="1" ht="14.5" spans="1:88">
      <c r="A23" s="26" t="s">
        <v>111</v>
      </c>
      <c r="B23" s="26">
        <v>16</v>
      </c>
      <c r="C23" s="26" t="s">
        <v>91</v>
      </c>
      <c r="D23" s="26" t="s">
        <v>89</v>
      </c>
      <c r="E23" s="26" t="s">
        <v>85</v>
      </c>
      <c r="F23" s="26" t="s">
        <v>86</v>
      </c>
      <c r="G23" s="26" t="s">
        <v>87</v>
      </c>
      <c r="H23" s="26" t="s">
        <v>86</v>
      </c>
      <c r="J23" s="41">
        <v>5</v>
      </c>
      <c r="K23" s="26">
        <v>5</v>
      </c>
      <c r="L23" s="27">
        <f t="shared" si="0"/>
        <v>5</v>
      </c>
      <c r="M23" s="26">
        <v>6</v>
      </c>
      <c r="N23" s="26">
        <v>7</v>
      </c>
      <c r="O23" s="26">
        <v>7</v>
      </c>
      <c r="P23" s="27">
        <f t="shared" si="1"/>
        <v>6.66666666666667</v>
      </c>
      <c r="Q23" s="26">
        <v>2</v>
      </c>
      <c r="R23" s="26">
        <v>1</v>
      </c>
      <c r="S23" s="26">
        <v>2</v>
      </c>
      <c r="T23" s="27">
        <f t="shared" si="2"/>
        <v>1.66666666666667</v>
      </c>
      <c r="U23" s="42">
        <f t="shared" si="3"/>
        <v>4.375</v>
      </c>
      <c r="W23" s="28">
        <v>7</v>
      </c>
      <c r="X23" s="26">
        <v>7</v>
      </c>
      <c r="Y23" s="26">
        <v>3</v>
      </c>
      <c r="Z23" s="26">
        <v>3</v>
      </c>
      <c r="AA23" s="26">
        <v>3</v>
      </c>
      <c r="AB23" s="26">
        <v>6</v>
      </c>
      <c r="AC23" s="27">
        <f t="shared" si="4"/>
        <v>4.6</v>
      </c>
      <c r="AD23" s="26">
        <v>5</v>
      </c>
      <c r="AE23" s="26">
        <v>3</v>
      </c>
      <c r="AF23" s="26">
        <v>3</v>
      </c>
      <c r="AG23" s="26">
        <v>6</v>
      </c>
      <c r="AH23" s="27">
        <f t="shared" si="5"/>
        <v>4.5</v>
      </c>
      <c r="AI23" s="26">
        <v>6</v>
      </c>
      <c r="AJ23" s="26">
        <v>6</v>
      </c>
      <c r="AK23" s="26">
        <v>6</v>
      </c>
      <c r="AL23" s="26">
        <v>3</v>
      </c>
      <c r="AM23" s="27">
        <f t="shared" si="6"/>
        <v>4</v>
      </c>
      <c r="AN23" s="42">
        <f t="shared" si="7"/>
        <v>4.57142857142857</v>
      </c>
      <c r="AP23" s="41">
        <v>6</v>
      </c>
      <c r="AQ23" s="26">
        <v>6</v>
      </c>
      <c r="AR23" s="26">
        <v>6</v>
      </c>
      <c r="AS23" s="26">
        <v>6</v>
      </c>
      <c r="AT23" s="27">
        <f t="shared" si="8"/>
        <v>6</v>
      </c>
      <c r="AU23" s="26">
        <v>4</v>
      </c>
      <c r="AV23" s="26">
        <v>5</v>
      </c>
      <c r="AW23" s="26">
        <v>5</v>
      </c>
      <c r="AX23" s="26">
        <v>4</v>
      </c>
      <c r="AY23" s="27">
        <f t="shared" si="9"/>
        <v>4.5</v>
      </c>
      <c r="AZ23" s="42">
        <f t="shared" si="10"/>
        <v>5.25</v>
      </c>
      <c r="BB23" s="41">
        <v>3</v>
      </c>
      <c r="BC23" s="26">
        <v>3</v>
      </c>
      <c r="BD23" s="26">
        <v>3</v>
      </c>
      <c r="BE23" s="26">
        <v>5</v>
      </c>
      <c r="BF23" s="27">
        <f t="shared" si="11"/>
        <v>3.75</v>
      </c>
      <c r="BG23" s="26">
        <v>6</v>
      </c>
      <c r="BH23" s="26">
        <v>6</v>
      </c>
      <c r="BI23" s="26">
        <v>2</v>
      </c>
      <c r="BJ23" s="27">
        <f t="shared" si="12"/>
        <v>5.66666666666667</v>
      </c>
      <c r="BK23" s="42">
        <f t="shared" si="13"/>
        <v>4.57142857142857</v>
      </c>
      <c r="BM23" s="41">
        <v>3</v>
      </c>
      <c r="BN23" s="26">
        <v>4</v>
      </c>
      <c r="BO23" s="42">
        <f t="shared" si="14"/>
        <v>7</v>
      </c>
      <c r="BP23" s="41">
        <v>5</v>
      </c>
      <c r="BQ23" s="26">
        <v>5</v>
      </c>
      <c r="BR23" s="42">
        <f t="shared" si="15"/>
        <v>10</v>
      </c>
      <c r="BS23" s="26">
        <f t="shared" si="16"/>
        <v>3</v>
      </c>
      <c r="BU23" s="46">
        <v>1</v>
      </c>
      <c r="BV23" s="46">
        <v>2</v>
      </c>
      <c r="BW23" s="46">
        <v>2</v>
      </c>
      <c r="BX23" s="46">
        <v>0</v>
      </c>
      <c r="BY23" s="46">
        <v>15</v>
      </c>
      <c r="BZ23" s="46">
        <v>1</v>
      </c>
      <c r="CA23" s="46">
        <v>2</v>
      </c>
      <c r="CB23" s="46">
        <v>2</v>
      </c>
      <c r="CC23" s="46">
        <v>2</v>
      </c>
      <c r="CD23" s="46">
        <v>2</v>
      </c>
      <c r="CE23" s="46">
        <v>1</v>
      </c>
      <c r="CF23" s="46">
        <v>5</v>
      </c>
      <c r="CG23" s="46">
        <v>1</v>
      </c>
      <c r="CH23" s="46">
        <v>5</v>
      </c>
      <c r="CJ23" s="46">
        <v>404.6809</v>
      </c>
    </row>
    <row r="24" s="26" customFormat="1" ht="14.5" spans="1:88">
      <c r="A24" s="26" t="s">
        <v>112</v>
      </c>
      <c r="B24" s="26">
        <v>16</v>
      </c>
      <c r="C24" s="26" t="s">
        <v>91</v>
      </c>
      <c r="D24" s="26" t="s">
        <v>89</v>
      </c>
      <c r="E24" s="26" t="s">
        <v>85</v>
      </c>
      <c r="F24" s="26" t="s">
        <v>86</v>
      </c>
      <c r="G24" s="26" t="s">
        <v>86</v>
      </c>
      <c r="H24" s="26" t="s">
        <v>86</v>
      </c>
      <c r="J24" s="41">
        <v>5</v>
      </c>
      <c r="K24" s="26">
        <v>4</v>
      </c>
      <c r="L24" s="27">
        <f t="shared" si="0"/>
        <v>4.5</v>
      </c>
      <c r="M24" s="26">
        <v>6</v>
      </c>
      <c r="N24" s="26">
        <v>5</v>
      </c>
      <c r="O24" s="26">
        <v>7</v>
      </c>
      <c r="P24" s="27">
        <f t="shared" si="1"/>
        <v>6</v>
      </c>
      <c r="Q24" s="26">
        <v>2</v>
      </c>
      <c r="R24" s="26">
        <v>2</v>
      </c>
      <c r="S24" s="26">
        <v>2</v>
      </c>
      <c r="T24" s="27">
        <f t="shared" si="2"/>
        <v>2</v>
      </c>
      <c r="U24" s="42">
        <f t="shared" si="3"/>
        <v>4.125</v>
      </c>
      <c r="W24" s="28">
        <v>7</v>
      </c>
      <c r="X24" s="26">
        <v>7</v>
      </c>
      <c r="Y24" s="26">
        <v>2</v>
      </c>
      <c r="Z24" s="26">
        <v>2</v>
      </c>
      <c r="AA24" s="26">
        <v>6</v>
      </c>
      <c r="AB24" s="26">
        <v>6</v>
      </c>
      <c r="AC24" s="27">
        <f t="shared" si="4"/>
        <v>5.2</v>
      </c>
      <c r="AD24" s="26">
        <v>5</v>
      </c>
      <c r="AE24" s="26">
        <v>7</v>
      </c>
      <c r="AF24" s="26">
        <v>2</v>
      </c>
      <c r="AG24" s="26">
        <v>7</v>
      </c>
      <c r="AH24" s="27">
        <f t="shared" si="5"/>
        <v>6</v>
      </c>
      <c r="AI24" s="26">
        <v>1</v>
      </c>
      <c r="AJ24" s="26">
        <v>6</v>
      </c>
      <c r="AK24" s="26">
        <v>5</v>
      </c>
      <c r="AL24" s="26">
        <v>2</v>
      </c>
      <c r="AM24" s="27">
        <f t="shared" si="6"/>
        <v>4.75</v>
      </c>
      <c r="AN24" s="42">
        <f t="shared" si="7"/>
        <v>5.42857142857143</v>
      </c>
      <c r="AP24" s="41">
        <v>4</v>
      </c>
      <c r="AQ24" s="26">
        <v>6</v>
      </c>
      <c r="AR24" s="26">
        <v>6</v>
      </c>
      <c r="AS24" s="26">
        <v>4</v>
      </c>
      <c r="AT24" s="27">
        <f t="shared" si="8"/>
        <v>5</v>
      </c>
      <c r="AU24" s="26">
        <v>6</v>
      </c>
      <c r="AV24" s="26">
        <v>6</v>
      </c>
      <c r="AW24" s="26">
        <v>6</v>
      </c>
      <c r="AX24" s="26">
        <v>6</v>
      </c>
      <c r="AY24" s="27">
        <f t="shared" si="9"/>
        <v>6</v>
      </c>
      <c r="AZ24" s="42">
        <f t="shared" si="10"/>
        <v>5.5</v>
      </c>
      <c r="BB24" s="41">
        <v>6</v>
      </c>
      <c r="BC24" s="45">
        <v>2</v>
      </c>
      <c r="BD24" s="26">
        <v>6</v>
      </c>
      <c r="BE24" s="45">
        <v>2</v>
      </c>
      <c r="BF24" s="27">
        <f t="shared" si="11"/>
        <v>2.75</v>
      </c>
      <c r="BG24" s="26">
        <v>6</v>
      </c>
      <c r="BH24" s="26">
        <v>5</v>
      </c>
      <c r="BI24" s="26">
        <v>2</v>
      </c>
      <c r="BJ24" s="27">
        <f t="shared" si="12"/>
        <v>5.33333333333333</v>
      </c>
      <c r="BK24" s="42">
        <f t="shared" si="13"/>
        <v>3.85714285714286</v>
      </c>
      <c r="BM24" s="41">
        <v>4</v>
      </c>
      <c r="BN24" s="26">
        <v>3</v>
      </c>
      <c r="BO24" s="42">
        <f t="shared" si="14"/>
        <v>7</v>
      </c>
      <c r="BP24" s="41">
        <v>4</v>
      </c>
      <c r="BQ24" s="26">
        <v>4</v>
      </c>
      <c r="BR24" s="42">
        <f t="shared" si="15"/>
        <v>8</v>
      </c>
      <c r="BS24" s="26">
        <f t="shared" si="16"/>
        <v>1</v>
      </c>
      <c r="BU24" s="46">
        <v>1</v>
      </c>
      <c r="BV24" s="46">
        <v>1</v>
      </c>
      <c r="BW24" s="46">
        <v>1</v>
      </c>
      <c r="BX24" s="46">
        <v>0</v>
      </c>
      <c r="BY24" s="46">
        <v>15</v>
      </c>
      <c r="BZ24" s="46">
        <v>1</v>
      </c>
      <c r="CA24" s="46">
        <v>1</v>
      </c>
      <c r="CB24" s="46">
        <v>1</v>
      </c>
      <c r="CC24" s="46">
        <v>1</v>
      </c>
      <c r="CD24" s="46">
        <v>4</v>
      </c>
      <c r="CE24" s="46">
        <v>1</v>
      </c>
      <c r="CF24" s="46">
        <v>0</v>
      </c>
      <c r="CG24" s="46">
        <v>2</v>
      </c>
      <c r="CH24" s="46">
        <v>1</v>
      </c>
      <c r="CJ24" s="46">
        <v>346.6169</v>
      </c>
    </row>
    <row r="25" s="26" customFormat="1" ht="14.5" spans="1:88">
      <c r="A25" s="26" t="s">
        <v>113</v>
      </c>
      <c r="B25" s="26">
        <v>16</v>
      </c>
      <c r="C25" s="26" t="s">
        <v>91</v>
      </c>
      <c r="D25" s="26" t="s">
        <v>89</v>
      </c>
      <c r="E25" s="26" t="s">
        <v>85</v>
      </c>
      <c r="F25" s="26" t="s">
        <v>86</v>
      </c>
      <c r="G25" s="26" t="s">
        <v>87</v>
      </c>
      <c r="H25" s="26" t="s">
        <v>86</v>
      </c>
      <c r="J25" s="41">
        <v>5</v>
      </c>
      <c r="K25" s="26">
        <v>3</v>
      </c>
      <c r="L25" s="27">
        <f t="shared" si="0"/>
        <v>4</v>
      </c>
      <c r="M25" s="26">
        <v>5</v>
      </c>
      <c r="N25" s="26">
        <v>5</v>
      </c>
      <c r="O25" s="26">
        <v>5</v>
      </c>
      <c r="P25" s="27">
        <f t="shared" si="1"/>
        <v>5</v>
      </c>
      <c r="Q25" s="26">
        <v>3</v>
      </c>
      <c r="R25" s="26">
        <v>2</v>
      </c>
      <c r="S25" s="26">
        <v>2</v>
      </c>
      <c r="T25" s="27">
        <f t="shared" si="2"/>
        <v>2.33333333333333</v>
      </c>
      <c r="U25" s="42">
        <f t="shared" si="3"/>
        <v>3.75</v>
      </c>
      <c r="W25" s="28">
        <v>1</v>
      </c>
      <c r="X25" s="26">
        <v>2</v>
      </c>
      <c r="Y25" s="26">
        <v>2</v>
      </c>
      <c r="Z25" s="26">
        <v>6</v>
      </c>
      <c r="AA25" s="26">
        <v>1</v>
      </c>
      <c r="AB25" s="26">
        <v>1</v>
      </c>
      <c r="AC25" s="27">
        <f t="shared" si="4"/>
        <v>3</v>
      </c>
      <c r="AD25" s="26">
        <v>3</v>
      </c>
      <c r="AE25" s="26">
        <v>2</v>
      </c>
      <c r="AF25" s="26">
        <v>5</v>
      </c>
      <c r="AG25" s="26">
        <v>1</v>
      </c>
      <c r="AH25" s="27">
        <f t="shared" si="5"/>
        <v>2</v>
      </c>
      <c r="AI25" s="26">
        <v>7</v>
      </c>
      <c r="AJ25" s="26">
        <v>1</v>
      </c>
      <c r="AK25" s="26">
        <v>1</v>
      </c>
      <c r="AL25" s="26">
        <v>1</v>
      </c>
      <c r="AM25" s="27">
        <f t="shared" si="6"/>
        <v>0.75</v>
      </c>
      <c r="AN25" s="42">
        <f t="shared" si="7"/>
        <v>1.92857142857143</v>
      </c>
      <c r="AP25" s="41">
        <v>2</v>
      </c>
      <c r="AQ25" s="26">
        <v>4</v>
      </c>
      <c r="AR25" s="26">
        <v>3</v>
      </c>
      <c r="AS25" s="26">
        <v>2</v>
      </c>
      <c r="AT25" s="27">
        <f t="shared" si="8"/>
        <v>2.75</v>
      </c>
      <c r="AU25" s="26">
        <v>2</v>
      </c>
      <c r="AV25" s="26">
        <v>2</v>
      </c>
      <c r="AW25" s="26">
        <v>2</v>
      </c>
      <c r="AX25" s="48">
        <v>5</v>
      </c>
      <c r="AY25" s="27">
        <f t="shared" si="9"/>
        <v>2.75</v>
      </c>
      <c r="AZ25" s="42">
        <f t="shared" si="10"/>
        <v>2.75</v>
      </c>
      <c r="BB25" s="41">
        <v>2</v>
      </c>
      <c r="BC25" s="26">
        <v>2</v>
      </c>
      <c r="BD25" s="26">
        <v>7</v>
      </c>
      <c r="BE25" s="26">
        <v>1</v>
      </c>
      <c r="BF25" s="27">
        <f t="shared" si="11"/>
        <v>1.25</v>
      </c>
      <c r="BG25" s="26">
        <v>5</v>
      </c>
      <c r="BH25" s="26">
        <v>4</v>
      </c>
      <c r="BI25" s="26">
        <v>5</v>
      </c>
      <c r="BJ25" s="27">
        <f t="shared" si="12"/>
        <v>3.66666666666667</v>
      </c>
      <c r="BK25" s="42">
        <f t="shared" si="13"/>
        <v>2.28571428571429</v>
      </c>
      <c r="BM25" s="41">
        <v>5</v>
      </c>
      <c r="BN25" s="26">
        <v>3</v>
      </c>
      <c r="BO25" s="42">
        <f t="shared" si="14"/>
        <v>8</v>
      </c>
      <c r="BP25" s="41">
        <v>5</v>
      </c>
      <c r="BQ25" s="26">
        <v>2</v>
      </c>
      <c r="BR25" s="42">
        <f t="shared" si="15"/>
        <v>7</v>
      </c>
      <c r="BS25" s="26">
        <f t="shared" si="16"/>
        <v>-1</v>
      </c>
      <c r="BU25" s="46">
        <v>1</v>
      </c>
      <c r="BV25" s="46">
        <v>0</v>
      </c>
      <c r="BW25" s="46">
        <v>0</v>
      </c>
      <c r="BX25" s="46">
        <v>1</v>
      </c>
      <c r="BY25" s="46">
        <v>16</v>
      </c>
      <c r="BZ25" s="46">
        <v>1</v>
      </c>
      <c r="CA25" s="46">
        <v>0</v>
      </c>
      <c r="CB25" s="46">
        <v>0</v>
      </c>
      <c r="CC25" s="46">
        <v>1</v>
      </c>
      <c r="CD25" s="46">
        <v>3</v>
      </c>
      <c r="CE25" s="46">
        <v>0</v>
      </c>
      <c r="CF25" s="46">
        <v>1</v>
      </c>
      <c r="CG25" s="46">
        <v>2</v>
      </c>
      <c r="CH25" s="46">
        <v>1</v>
      </c>
      <c r="CJ25" s="46">
        <v>154.5255</v>
      </c>
    </row>
    <row r="26" s="26" customFormat="1" ht="14.5" spans="1:88">
      <c r="A26" s="26" t="s">
        <v>114</v>
      </c>
      <c r="B26" s="26">
        <v>17</v>
      </c>
      <c r="C26" s="26" t="s">
        <v>83</v>
      </c>
      <c r="D26" s="26" t="s">
        <v>89</v>
      </c>
      <c r="E26" s="26" t="s">
        <v>85</v>
      </c>
      <c r="F26" s="26" t="s">
        <v>86</v>
      </c>
      <c r="G26" s="26" t="s">
        <v>87</v>
      </c>
      <c r="H26" s="26" t="s">
        <v>86</v>
      </c>
      <c r="J26" s="41">
        <v>6</v>
      </c>
      <c r="K26" s="26">
        <v>4</v>
      </c>
      <c r="L26" s="27">
        <f t="shared" si="0"/>
        <v>5</v>
      </c>
      <c r="M26" s="26">
        <v>4</v>
      </c>
      <c r="N26" s="26">
        <v>6</v>
      </c>
      <c r="O26" s="26">
        <v>5</v>
      </c>
      <c r="P26" s="27">
        <f t="shared" si="1"/>
        <v>5</v>
      </c>
      <c r="Q26" s="26">
        <v>7</v>
      </c>
      <c r="R26" s="26">
        <v>7</v>
      </c>
      <c r="S26" s="26">
        <v>7</v>
      </c>
      <c r="T26" s="27">
        <f t="shared" si="2"/>
        <v>7</v>
      </c>
      <c r="U26" s="42">
        <f t="shared" si="3"/>
        <v>5.75</v>
      </c>
      <c r="W26" s="28">
        <v>7</v>
      </c>
      <c r="X26" s="26">
        <v>7</v>
      </c>
      <c r="Y26" s="26">
        <v>6</v>
      </c>
      <c r="Z26" s="26">
        <v>5</v>
      </c>
      <c r="AA26" s="26">
        <v>6</v>
      </c>
      <c r="AB26" s="26">
        <v>7</v>
      </c>
      <c r="AC26" s="27">
        <f t="shared" si="4"/>
        <v>5.2</v>
      </c>
      <c r="AD26" s="26">
        <v>3</v>
      </c>
      <c r="AE26" s="45">
        <v>2</v>
      </c>
      <c r="AF26" s="26">
        <v>6</v>
      </c>
      <c r="AG26" s="26">
        <v>7</v>
      </c>
      <c r="AH26" s="27">
        <f t="shared" si="5"/>
        <v>3.25</v>
      </c>
      <c r="AI26" s="26">
        <v>4</v>
      </c>
      <c r="AJ26" s="26">
        <v>3</v>
      </c>
      <c r="AK26" s="26">
        <v>4</v>
      </c>
      <c r="AL26" s="26">
        <v>4</v>
      </c>
      <c r="AM26" s="27">
        <f t="shared" si="6"/>
        <v>3.5</v>
      </c>
      <c r="AN26" s="42">
        <f t="shared" si="7"/>
        <v>4.28571428571429</v>
      </c>
      <c r="AP26" s="49">
        <v>3</v>
      </c>
      <c r="AQ26" s="26">
        <v>3</v>
      </c>
      <c r="AR26" s="26">
        <v>6</v>
      </c>
      <c r="AS26" s="26">
        <v>5</v>
      </c>
      <c r="AT26" s="27">
        <f t="shared" si="8"/>
        <v>4.25</v>
      </c>
      <c r="AU26" s="26">
        <v>7</v>
      </c>
      <c r="AV26" s="26">
        <v>6</v>
      </c>
      <c r="AW26" s="26">
        <v>7</v>
      </c>
      <c r="AX26" s="26">
        <v>7</v>
      </c>
      <c r="AY26" s="27">
        <f t="shared" si="9"/>
        <v>6.75</v>
      </c>
      <c r="AZ26" s="42">
        <f t="shared" si="10"/>
        <v>5.5</v>
      </c>
      <c r="BB26" s="41">
        <v>7</v>
      </c>
      <c r="BC26" s="45">
        <v>2</v>
      </c>
      <c r="BD26" s="26">
        <v>6</v>
      </c>
      <c r="BE26" s="26">
        <v>7</v>
      </c>
      <c r="BF26" s="27">
        <f t="shared" si="11"/>
        <v>4.25</v>
      </c>
      <c r="BG26" s="26">
        <v>4</v>
      </c>
      <c r="BH26" s="47">
        <v>2</v>
      </c>
      <c r="BI26" s="26">
        <v>6</v>
      </c>
      <c r="BJ26" s="27">
        <f t="shared" si="12"/>
        <v>2.33333333333333</v>
      </c>
      <c r="BK26" s="42">
        <f t="shared" si="13"/>
        <v>3.42857142857143</v>
      </c>
      <c r="BM26" s="41">
        <v>3</v>
      </c>
      <c r="BN26" s="26">
        <v>2</v>
      </c>
      <c r="BO26" s="42">
        <f t="shared" si="14"/>
        <v>5</v>
      </c>
      <c r="BP26" s="41">
        <v>1</v>
      </c>
      <c r="BQ26" s="26">
        <v>1</v>
      </c>
      <c r="BR26" s="42">
        <f t="shared" si="15"/>
        <v>2</v>
      </c>
      <c r="BS26" s="26">
        <f t="shared" si="16"/>
        <v>-3</v>
      </c>
      <c r="BU26" s="46">
        <v>1</v>
      </c>
      <c r="BV26" s="46">
        <v>0</v>
      </c>
      <c r="BW26" s="46">
        <v>0</v>
      </c>
      <c r="BX26" s="46">
        <v>1</v>
      </c>
      <c r="BY26" s="46">
        <v>16</v>
      </c>
      <c r="BZ26" s="46">
        <v>3</v>
      </c>
      <c r="CA26" s="46">
        <v>1</v>
      </c>
      <c r="CB26" s="46">
        <v>4</v>
      </c>
      <c r="CC26" s="46">
        <v>5</v>
      </c>
      <c r="CD26" s="46">
        <v>2</v>
      </c>
      <c r="CE26" s="46">
        <v>0</v>
      </c>
      <c r="CF26" s="46">
        <v>4</v>
      </c>
      <c r="CG26" s="46">
        <v>5</v>
      </c>
      <c r="CH26" s="46">
        <v>2</v>
      </c>
      <c r="CJ26" s="46">
        <v>603.2568</v>
      </c>
    </row>
    <row r="27" s="26" customFormat="1" ht="14.5" spans="1:88">
      <c r="A27" s="26" t="s">
        <v>115</v>
      </c>
      <c r="B27" s="26">
        <v>16</v>
      </c>
      <c r="C27" s="26" t="s">
        <v>83</v>
      </c>
      <c r="D27" s="26" t="s">
        <v>89</v>
      </c>
      <c r="E27" s="26" t="s">
        <v>85</v>
      </c>
      <c r="F27" s="26" t="s">
        <v>87</v>
      </c>
      <c r="G27" s="26" t="s">
        <v>87</v>
      </c>
      <c r="H27" s="26" t="s">
        <v>86</v>
      </c>
      <c r="J27" s="41">
        <v>4</v>
      </c>
      <c r="K27" s="26">
        <v>3</v>
      </c>
      <c r="L27" s="27">
        <f t="shared" si="0"/>
        <v>3.5</v>
      </c>
      <c r="M27" s="26">
        <v>5</v>
      </c>
      <c r="N27" s="26">
        <v>7</v>
      </c>
      <c r="O27" s="26">
        <v>7</v>
      </c>
      <c r="P27" s="27">
        <f t="shared" si="1"/>
        <v>6.33333333333333</v>
      </c>
      <c r="Q27" s="26">
        <v>2</v>
      </c>
      <c r="R27" s="26">
        <v>2</v>
      </c>
      <c r="S27" s="26">
        <v>2</v>
      </c>
      <c r="T27" s="27">
        <f t="shared" si="2"/>
        <v>2</v>
      </c>
      <c r="U27" s="42">
        <f t="shared" si="3"/>
        <v>4</v>
      </c>
      <c r="W27" s="28">
        <v>7</v>
      </c>
      <c r="X27" s="26">
        <v>7</v>
      </c>
      <c r="Y27" s="26">
        <v>2</v>
      </c>
      <c r="Z27" s="26">
        <v>2</v>
      </c>
      <c r="AA27" s="26">
        <v>6</v>
      </c>
      <c r="AB27" s="26">
        <v>7</v>
      </c>
      <c r="AC27" s="27">
        <f t="shared" si="4"/>
        <v>5.4</v>
      </c>
      <c r="AD27" s="26">
        <v>6</v>
      </c>
      <c r="AE27" s="45">
        <v>3</v>
      </c>
      <c r="AF27" s="26">
        <v>5</v>
      </c>
      <c r="AG27" s="26">
        <v>5</v>
      </c>
      <c r="AH27" s="27">
        <f t="shared" si="5"/>
        <v>4</v>
      </c>
      <c r="AI27" s="26">
        <v>6</v>
      </c>
      <c r="AJ27" s="26">
        <v>5</v>
      </c>
      <c r="AK27" s="26">
        <v>3</v>
      </c>
      <c r="AL27" s="26">
        <v>2</v>
      </c>
      <c r="AM27" s="27">
        <f t="shared" si="6"/>
        <v>2.75</v>
      </c>
      <c r="AN27" s="42">
        <f t="shared" si="7"/>
        <v>4.35714285714286</v>
      </c>
      <c r="AP27" s="41">
        <v>1</v>
      </c>
      <c r="AQ27" s="26">
        <v>4</v>
      </c>
      <c r="AR27" s="26">
        <v>4</v>
      </c>
      <c r="AS27" s="45">
        <v>1</v>
      </c>
      <c r="AT27" s="27">
        <f t="shared" si="8"/>
        <v>2.5</v>
      </c>
      <c r="AU27" s="26">
        <v>2</v>
      </c>
      <c r="AV27" s="50">
        <v>4</v>
      </c>
      <c r="AW27" s="50">
        <v>4</v>
      </c>
      <c r="AX27" s="50">
        <v>2</v>
      </c>
      <c r="AY27" s="27">
        <f t="shared" si="9"/>
        <v>3</v>
      </c>
      <c r="AZ27" s="42">
        <f t="shared" si="10"/>
        <v>2.75</v>
      </c>
      <c r="BB27" s="51">
        <v>2</v>
      </c>
      <c r="BC27" s="50">
        <v>2</v>
      </c>
      <c r="BD27" s="50">
        <v>6</v>
      </c>
      <c r="BE27" s="50">
        <v>2</v>
      </c>
      <c r="BF27" s="27">
        <f t="shared" si="11"/>
        <v>1.75</v>
      </c>
      <c r="BG27" s="50">
        <v>4</v>
      </c>
      <c r="BH27" s="50">
        <v>4</v>
      </c>
      <c r="BI27" s="50">
        <v>4</v>
      </c>
      <c r="BJ27" s="27">
        <f t="shared" si="12"/>
        <v>3.66666666666667</v>
      </c>
      <c r="BK27" s="42">
        <f t="shared" si="13"/>
        <v>2.57142857142857</v>
      </c>
      <c r="BM27" s="41">
        <v>3</v>
      </c>
      <c r="BN27" s="26">
        <v>1</v>
      </c>
      <c r="BO27" s="42">
        <f t="shared" si="14"/>
        <v>4</v>
      </c>
      <c r="BP27" s="41">
        <v>3</v>
      </c>
      <c r="BQ27" s="26">
        <v>1</v>
      </c>
      <c r="BR27" s="42">
        <f t="shared" si="15"/>
        <v>4</v>
      </c>
      <c r="BS27" s="26">
        <f t="shared" si="16"/>
        <v>0</v>
      </c>
      <c r="BU27" s="46">
        <v>1</v>
      </c>
      <c r="BV27" s="46">
        <v>4</v>
      </c>
      <c r="BW27" s="46">
        <v>5</v>
      </c>
      <c r="BX27" s="46">
        <v>0</v>
      </c>
      <c r="BY27" s="46">
        <v>15</v>
      </c>
      <c r="BZ27" s="46">
        <v>3</v>
      </c>
      <c r="CA27" s="46">
        <v>0</v>
      </c>
      <c r="CB27" s="46">
        <v>2</v>
      </c>
      <c r="CC27" s="46">
        <v>2</v>
      </c>
      <c r="CD27" s="46">
        <v>2</v>
      </c>
      <c r="CE27" s="46">
        <v>0</v>
      </c>
      <c r="CF27" s="46">
        <v>2</v>
      </c>
      <c r="CG27" s="46">
        <v>3</v>
      </c>
      <c r="CH27" s="46">
        <v>2</v>
      </c>
      <c r="CJ27" s="46">
        <v>515.7109</v>
      </c>
    </row>
    <row r="28" s="26" customFormat="1" ht="14.5" spans="1:88">
      <c r="A28" s="26" t="s">
        <v>116</v>
      </c>
      <c r="B28" s="26">
        <v>16</v>
      </c>
      <c r="C28" s="26" t="s">
        <v>91</v>
      </c>
      <c r="D28" s="26" t="s">
        <v>89</v>
      </c>
      <c r="E28" s="26" t="s">
        <v>85</v>
      </c>
      <c r="F28" s="26" t="s">
        <v>86</v>
      </c>
      <c r="G28" s="26" t="s">
        <v>87</v>
      </c>
      <c r="H28" s="26" t="s">
        <v>86</v>
      </c>
      <c r="J28" s="41">
        <v>4</v>
      </c>
      <c r="K28" s="26">
        <v>2</v>
      </c>
      <c r="L28" s="27">
        <f t="shared" si="0"/>
        <v>3</v>
      </c>
      <c r="M28" s="26">
        <v>7</v>
      </c>
      <c r="N28" s="26">
        <v>6</v>
      </c>
      <c r="O28" s="26">
        <v>7</v>
      </c>
      <c r="P28" s="27">
        <f t="shared" si="1"/>
        <v>6.66666666666667</v>
      </c>
      <c r="Q28" s="26">
        <v>2</v>
      </c>
      <c r="R28" s="26">
        <v>1</v>
      </c>
      <c r="S28" s="26">
        <v>3</v>
      </c>
      <c r="T28" s="27">
        <f t="shared" si="2"/>
        <v>2</v>
      </c>
      <c r="U28" s="42">
        <f t="shared" si="3"/>
        <v>4</v>
      </c>
      <c r="W28" s="28">
        <v>7</v>
      </c>
      <c r="X28" s="26">
        <v>7</v>
      </c>
      <c r="Y28" s="26">
        <v>4</v>
      </c>
      <c r="Z28" s="26">
        <v>6</v>
      </c>
      <c r="AA28" s="26">
        <v>6</v>
      </c>
      <c r="AB28" s="26">
        <v>6</v>
      </c>
      <c r="AC28" s="27">
        <f t="shared" si="4"/>
        <v>5.6</v>
      </c>
      <c r="AD28" s="26">
        <v>6</v>
      </c>
      <c r="AE28" s="26">
        <v>1</v>
      </c>
      <c r="AF28" s="26">
        <v>5</v>
      </c>
      <c r="AG28" s="26">
        <v>5</v>
      </c>
      <c r="AH28" s="27">
        <f t="shared" si="5"/>
        <v>3.5</v>
      </c>
      <c r="AI28" s="26">
        <v>6</v>
      </c>
      <c r="AJ28" s="26">
        <v>5</v>
      </c>
      <c r="AK28" s="26">
        <v>4</v>
      </c>
      <c r="AL28" s="26">
        <v>1</v>
      </c>
      <c r="AM28" s="27">
        <f t="shared" si="6"/>
        <v>2.75</v>
      </c>
      <c r="AN28" s="42">
        <f t="shared" si="7"/>
        <v>4.28571428571429</v>
      </c>
      <c r="AP28" s="43">
        <v>3</v>
      </c>
      <c r="AQ28" s="26">
        <v>1</v>
      </c>
      <c r="AR28" s="26">
        <v>4</v>
      </c>
      <c r="AS28" s="26">
        <v>3</v>
      </c>
      <c r="AT28" s="27">
        <f t="shared" si="8"/>
        <v>2.75</v>
      </c>
      <c r="AU28" s="26">
        <v>6</v>
      </c>
      <c r="AV28" s="26">
        <v>6</v>
      </c>
      <c r="AW28" s="26">
        <v>7</v>
      </c>
      <c r="AX28" s="26">
        <v>6</v>
      </c>
      <c r="AY28" s="27">
        <f t="shared" si="9"/>
        <v>6.25</v>
      </c>
      <c r="AZ28" s="42">
        <f t="shared" si="10"/>
        <v>4.5</v>
      </c>
      <c r="BB28" s="41">
        <v>6</v>
      </c>
      <c r="BC28" s="26">
        <v>5</v>
      </c>
      <c r="BD28" s="26">
        <v>2</v>
      </c>
      <c r="BE28" s="26">
        <v>2</v>
      </c>
      <c r="BF28" s="27">
        <f t="shared" si="11"/>
        <v>4.5</v>
      </c>
      <c r="BG28" s="26">
        <v>6</v>
      </c>
      <c r="BH28" s="26">
        <v>6</v>
      </c>
      <c r="BI28" s="26">
        <v>1</v>
      </c>
      <c r="BJ28" s="27">
        <f t="shared" si="12"/>
        <v>6</v>
      </c>
      <c r="BK28" s="42">
        <f t="shared" si="13"/>
        <v>5.14285714285714</v>
      </c>
      <c r="BM28" s="41">
        <v>2</v>
      </c>
      <c r="BN28" s="26">
        <v>5</v>
      </c>
      <c r="BO28" s="42">
        <f t="shared" si="14"/>
        <v>7</v>
      </c>
      <c r="BP28" s="41">
        <v>5</v>
      </c>
      <c r="BQ28" s="26">
        <v>5</v>
      </c>
      <c r="BR28" s="42">
        <f t="shared" si="15"/>
        <v>10</v>
      </c>
      <c r="BS28" s="26">
        <f t="shared" si="16"/>
        <v>3</v>
      </c>
      <c r="BU28" s="46">
        <v>1</v>
      </c>
      <c r="BV28" s="46">
        <v>1</v>
      </c>
      <c r="BW28" s="46">
        <v>1</v>
      </c>
      <c r="BX28" s="46">
        <v>0</v>
      </c>
      <c r="BY28" s="46">
        <v>15</v>
      </c>
      <c r="BZ28" s="46">
        <v>1</v>
      </c>
      <c r="CA28" s="46">
        <v>1</v>
      </c>
      <c r="CB28" s="46">
        <v>2</v>
      </c>
      <c r="CC28" s="46">
        <v>3</v>
      </c>
      <c r="CD28" s="46">
        <v>0</v>
      </c>
      <c r="CE28" s="46">
        <v>1</v>
      </c>
      <c r="CF28" s="46">
        <v>1</v>
      </c>
      <c r="CG28" s="46">
        <v>2</v>
      </c>
      <c r="CH28" s="46">
        <v>2</v>
      </c>
      <c r="CJ28" s="46">
        <v>397.4861</v>
      </c>
    </row>
    <row r="29" s="26" customFormat="1" ht="14.5" spans="1:88">
      <c r="A29" s="26" t="s">
        <v>118</v>
      </c>
      <c r="B29" s="26">
        <v>16</v>
      </c>
      <c r="C29" s="26" t="s">
        <v>83</v>
      </c>
      <c r="D29" s="26" t="s">
        <v>89</v>
      </c>
      <c r="E29" s="26" t="s">
        <v>85</v>
      </c>
      <c r="F29" s="26" t="s">
        <v>86</v>
      </c>
      <c r="G29" s="26" t="s">
        <v>87</v>
      </c>
      <c r="H29" s="26" t="s">
        <v>86</v>
      </c>
      <c r="J29" s="41">
        <v>3</v>
      </c>
      <c r="K29" s="26">
        <v>2</v>
      </c>
      <c r="L29" s="27">
        <f t="shared" si="0"/>
        <v>2.5</v>
      </c>
      <c r="M29" s="26">
        <v>6</v>
      </c>
      <c r="N29" s="26">
        <v>6</v>
      </c>
      <c r="O29" s="26">
        <v>7</v>
      </c>
      <c r="P29" s="27">
        <f t="shared" si="1"/>
        <v>6.33333333333333</v>
      </c>
      <c r="Q29" s="26">
        <v>2</v>
      </c>
      <c r="R29" s="26">
        <v>1</v>
      </c>
      <c r="S29" s="26">
        <v>1</v>
      </c>
      <c r="T29" s="27">
        <f t="shared" si="2"/>
        <v>1.33333333333333</v>
      </c>
      <c r="U29" s="42">
        <f t="shared" si="3"/>
        <v>3.5</v>
      </c>
      <c r="W29" s="28">
        <v>6</v>
      </c>
      <c r="X29" s="26">
        <v>6</v>
      </c>
      <c r="Y29" s="26">
        <v>3</v>
      </c>
      <c r="Z29" s="26">
        <v>6</v>
      </c>
      <c r="AA29" s="26">
        <v>5</v>
      </c>
      <c r="AB29" s="26">
        <v>3</v>
      </c>
      <c r="AC29" s="27">
        <f t="shared" si="4"/>
        <v>4.8</v>
      </c>
      <c r="AD29" s="26">
        <v>5</v>
      </c>
      <c r="AE29" s="45">
        <v>3</v>
      </c>
      <c r="AF29" s="26">
        <v>5</v>
      </c>
      <c r="AG29" s="26">
        <v>3</v>
      </c>
      <c r="AH29" s="27">
        <f t="shared" si="5"/>
        <v>3.25</v>
      </c>
      <c r="AI29" s="26">
        <v>2</v>
      </c>
      <c r="AJ29" s="26">
        <v>6</v>
      </c>
      <c r="AK29" s="26">
        <v>2</v>
      </c>
      <c r="AL29" s="26">
        <v>1</v>
      </c>
      <c r="AM29" s="27">
        <f t="shared" si="6"/>
        <v>3.5</v>
      </c>
      <c r="AN29" s="42">
        <f t="shared" si="7"/>
        <v>4.07142857142857</v>
      </c>
      <c r="AP29" s="41">
        <v>3</v>
      </c>
      <c r="AQ29" s="26">
        <v>5</v>
      </c>
      <c r="AR29" s="26">
        <v>2</v>
      </c>
      <c r="AS29" s="47">
        <v>2</v>
      </c>
      <c r="AT29" s="27">
        <f t="shared" si="8"/>
        <v>3</v>
      </c>
      <c r="AU29" s="26">
        <v>3</v>
      </c>
      <c r="AV29" s="26">
        <v>7</v>
      </c>
      <c r="AW29" s="26">
        <v>7</v>
      </c>
      <c r="AX29" s="26">
        <v>5</v>
      </c>
      <c r="AY29" s="27">
        <f t="shared" si="9"/>
        <v>5.5</v>
      </c>
      <c r="AZ29" s="42">
        <f t="shared" si="10"/>
        <v>4.25</v>
      </c>
      <c r="BB29" s="41">
        <v>6</v>
      </c>
      <c r="BC29" s="26">
        <v>3</v>
      </c>
      <c r="BD29" s="26">
        <v>5</v>
      </c>
      <c r="BE29" s="26">
        <v>3</v>
      </c>
      <c r="BF29" s="27">
        <f t="shared" si="11"/>
        <v>3.5</v>
      </c>
      <c r="BG29" s="26">
        <v>7</v>
      </c>
      <c r="BH29" s="26">
        <v>7</v>
      </c>
      <c r="BI29" s="26">
        <v>2</v>
      </c>
      <c r="BJ29" s="27">
        <f t="shared" si="12"/>
        <v>6.33333333333333</v>
      </c>
      <c r="BK29" s="42">
        <f t="shared" si="13"/>
        <v>4.71428571428571</v>
      </c>
      <c r="BM29" s="41">
        <v>5</v>
      </c>
      <c r="BN29" s="26">
        <v>5</v>
      </c>
      <c r="BO29" s="42">
        <f t="shared" si="14"/>
        <v>10</v>
      </c>
      <c r="BP29" s="41">
        <v>5</v>
      </c>
      <c r="BQ29" s="26">
        <v>5</v>
      </c>
      <c r="BR29" s="42">
        <f t="shared" si="15"/>
        <v>10</v>
      </c>
      <c r="BS29" s="26">
        <f t="shared" si="16"/>
        <v>0</v>
      </c>
      <c r="BU29" s="46">
        <v>1</v>
      </c>
      <c r="BV29" s="46">
        <v>4</v>
      </c>
      <c r="BW29" s="46">
        <v>2</v>
      </c>
      <c r="BX29" s="46">
        <v>0</v>
      </c>
      <c r="BY29" s="46">
        <v>15</v>
      </c>
      <c r="BZ29" s="46">
        <v>3</v>
      </c>
      <c r="CA29" s="46">
        <v>1</v>
      </c>
      <c r="CB29" s="46">
        <v>1</v>
      </c>
      <c r="CC29" s="46">
        <v>5</v>
      </c>
      <c r="CD29" s="46">
        <v>3</v>
      </c>
      <c r="CE29" s="46">
        <v>1</v>
      </c>
      <c r="CF29" s="46">
        <v>3</v>
      </c>
      <c r="CG29" s="46">
        <v>3</v>
      </c>
      <c r="CH29" s="46">
        <v>4</v>
      </c>
      <c r="CI29" s="46">
        <v>29</v>
      </c>
      <c r="CJ29" s="46">
        <v>368.3992</v>
      </c>
    </row>
    <row r="30" s="26" customFormat="1" ht="14.5" spans="1:88">
      <c r="A30" s="26" t="s">
        <v>119</v>
      </c>
      <c r="B30" s="26">
        <v>16</v>
      </c>
      <c r="C30" s="26" t="s">
        <v>83</v>
      </c>
      <c r="D30" s="26" t="s">
        <v>89</v>
      </c>
      <c r="E30" s="26" t="s">
        <v>85</v>
      </c>
      <c r="F30" s="26" t="s">
        <v>86</v>
      </c>
      <c r="G30" s="26" t="s">
        <v>86</v>
      </c>
      <c r="H30" s="26" t="s">
        <v>86</v>
      </c>
      <c r="J30" s="41">
        <v>3</v>
      </c>
      <c r="K30" s="26">
        <v>3</v>
      </c>
      <c r="L30" s="27">
        <f t="shared" si="0"/>
        <v>3</v>
      </c>
      <c r="M30" s="26">
        <v>6</v>
      </c>
      <c r="N30" s="26">
        <v>7</v>
      </c>
      <c r="O30" s="26">
        <v>7</v>
      </c>
      <c r="P30" s="27">
        <f t="shared" si="1"/>
        <v>6.66666666666667</v>
      </c>
      <c r="Q30" s="26">
        <v>1</v>
      </c>
      <c r="R30" s="26">
        <v>1</v>
      </c>
      <c r="S30" s="26">
        <v>1</v>
      </c>
      <c r="T30" s="27">
        <f t="shared" si="2"/>
        <v>1</v>
      </c>
      <c r="U30" s="42">
        <f t="shared" si="3"/>
        <v>3.625</v>
      </c>
      <c r="W30" s="28">
        <v>7</v>
      </c>
      <c r="X30" s="26">
        <v>7</v>
      </c>
      <c r="Y30" s="26">
        <v>4</v>
      </c>
      <c r="Z30" s="26">
        <v>5</v>
      </c>
      <c r="AA30" s="26">
        <v>6</v>
      </c>
      <c r="AB30" s="26">
        <v>7</v>
      </c>
      <c r="AC30" s="27">
        <f t="shared" si="4"/>
        <v>5.6</v>
      </c>
      <c r="AD30" s="26">
        <v>3</v>
      </c>
      <c r="AE30" s="26">
        <v>4</v>
      </c>
      <c r="AF30" s="26">
        <v>4</v>
      </c>
      <c r="AG30" s="26">
        <v>5</v>
      </c>
      <c r="AH30" s="27">
        <f t="shared" si="5"/>
        <v>3.75</v>
      </c>
      <c r="AI30" s="26">
        <v>2</v>
      </c>
      <c r="AJ30" s="26">
        <v>6</v>
      </c>
      <c r="AK30" s="26">
        <v>2</v>
      </c>
      <c r="AL30" s="26">
        <v>4</v>
      </c>
      <c r="AM30" s="27">
        <f t="shared" si="6"/>
        <v>4.25</v>
      </c>
      <c r="AN30" s="42">
        <f t="shared" si="7"/>
        <v>4.78571428571429</v>
      </c>
      <c r="AP30" s="41">
        <v>5</v>
      </c>
      <c r="AQ30" s="26">
        <v>5</v>
      </c>
      <c r="AR30" s="26">
        <v>5</v>
      </c>
      <c r="AS30" s="26">
        <v>5</v>
      </c>
      <c r="AT30" s="27">
        <f t="shared" si="8"/>
        <v>5</v>
      </c>
      <c r="AU30" s="26">
        <v>5</v>
      </c>
      <c r="AV30" s="26">
        <v>5</v>
      </c>
      <c r="AW30" s="26">
        <v>6</v>
      </c>
      <c r="AX30" s="26">
        <v>6</v>
      </c>
      <c r="AY30" s="27">
        <f t="shared" si="9"/>
        <v>5.5</v>
      </c>
      <c r="AZ30" s="42">
        <f t="shared" si="10"/>
        <v>5.25</v>
      </c>
      <c r="BB30" s="41">
        <v>7</v>
      </c>
      <c r="BC30" s="26">
        <v>7</v>
      </c>
      <c r="BD30" s="26">
        <v>4</v>
      </c>
      <c r="BE30" s="26">
        <v>7</v>
      </c>
      <c r="BF30" s="27">
        <f t="shared" si="11"/>
        <v>6</v>
      </c>
      <c r="BG30" s="26">
        <v>7</v>
      </c>
      <c r="BH30" s="47">
        <v>4</v>
      </c>
      <c r="BI30" s="26">
        <v>4</v>
      </c>
      <c r="BJ30" s="27">
        <f t="shared" si="12"/>
        <v>4.66666666666667</v>
      </c>
      <c r="BK30" s="42">
        <f t="shared" si="13"/>
        <v>5.42857142857143</v>
      </c>
      <c r="BM30" s="41">
        <v>2</v>
      </c>
      <c r="BN30" s="26">
        <v>3</v>
      </c>
      <c r="BO30" s="42">
        <f t="shared" si="14"/>
        <v>5</v>
      </c>
      <c r="BP30" s="41">
        <v>5</v>
      </c>
      <c r="BQ30" s="26">
        <v>5</v>
      </c>
      <c r="BR30" s="42">
        <f t="shared" si="15"/>
        <v>10</v>
      </c>
      <c r="BS30" s="26">
        <f t="shared" si="16"/>
        <v>5</v>
      </c>
      <c r="BU30" s="46">
        <v>2</v>
      </c>
      <c r="BV30" s="46">
        <v>1</v>
      </c>
      <c r="BW30" s="46">
        <v>1</v>
      </c>
      <c r="BX30" s="46">
        <v>0</v>
      </c>
      <c r="BY30" s="46">
        <v>15</v>
      </c>
      <c r="BZ30" s="46">
        <v>1</v>
      </c>
      <c r="CA30" s="46">
        <v>0</v>
      </c>
      <c r="CB30" s="46">
        <v>1</v>
      </c>
      <c r="CC30" s="46">
        <v>1</v>
      </c>
      <c r="CD30" s="46">
        <v>0</v>
      </c>
      <c r="CE30" s="46">
        <v>0</v>
      </c>
      <c r="CF30" s="46">
        <v>2</v>
      </c>
      <c r="CG30" s="46">
        <v>1</v>
      </c>
      <c r="CH30" s="46">
        <v>1</v>
      </c>
      <c r="CI30" s="46">
        <v>21</v>
      </c>
      <c r="CJ30" s="46">
        <v>244.5433</v>
      </c>
    </row>
    <row r="31" s="26" customFormat="1" ht="14.5" spans="1:88">
      <c r="A31" s="26" t="s">
        <v>120</v>
      </c>
      <c r="B31" s="26">
        <v>16</v>
      </c>
      <c r="C31" s="26" t="s">
        <v>83</v>
      </c>
      <c r="D31" s="26" t="s">
        <v>89</v>
      </c>
      <c r="E31" s="26" t="s">
        <v>85</v>
      </c>
      <c r="F31" s="26" t="s">
        <v>86</v>
      </c>
      <c r="G31" s="26" t="s">
        <v>86</v>
      </c>
      <c r="H31" s="26" t="s">
        <v>86</v>
      </c>
      <c r="J31" s="41">
        <v>3</v>
      </c>
      <c r="K31" s="26">
        <v>3</v>
      </c>
      <c r="L31" s="27">
        <f t="shared" si="0"/>
        <v>3</v>
      </c>
      <c r="M31" s="26">
        <v>6</v>
      </c>
      <c r="N31" s="26">
        <v>6</v>
      </c>
      <c r="O31" s="26">
        <v>6</v>
      </c>
      <c r="P31" s="27">
        <f t="shared" si="1"/>
        <v>6</v>
      </c>
      <c r="Q31" s="26">
        <v>2</v>
      </c>
      <c r="R31" s="26">
        <v>2</v>
      </c>
      <c r="S31" s="26">
        <v>2</v>
      </c>
      <c r="T31" s="27">
        <f t="shared" si="2"/>
        <v>2</v>
      </c>
      <c r="U31" s="42">
        <f t="shared" si="3"/>
        <v>3.75</v>
      </c>
      <c r="W31" s="28">
        <v>7</v>
      </c>
      <c r="X31" s="26">
        <v>6</v>
      </c>
      <c r="Y31" s="26">
        <v>3</v>
      </c>
      <c r="Z31" s="26">
        <v>3</v>
      </c>
      <c r="AA31" s="26">
        <v>5</v>
      </c>
      <c r="AB31" s="26">
        <v>5</v>
      </c>
      <c r="AC31" s="27">
        <f t="shared" si="4"/>
        <v>4.6</v>
      </c>
      <c r="AD31" s="26">
        <v>3</v>
      </c>
      <c r="AE31" s="26">
        <v>3</v>
      </c>
      <c r="AF31" s="45">
        <v>5</v>
      </c>
      <c r="AG31" s="26">
        <v>5</v>
      </c>
      <c r="AH31" s="27">
        <f t="shared" si="5"/>
        <v>3.25</v>
      </c>
      <c r="AI31" s="26">
        <v>6</v>
      </c>
      <c r="AJ31" s="26">
        <v>6</v>
      </c>
      <c r="AK31" s="26">
        <v>5</v>
      </c>
      <c r="AL31" s="26">
        <v>3</v>
      </c>
      <c r="AM31" s="27">
        <f t="shared" si="6"/>
        <v>3.75</v>
      </c>
      <c r="AN31" s="42">
        <f t="shared" si="7"/>
        <v>4.14285714285714</v>
      </c>
      <c r="AP31" s="41">
        <v>5</v>
      </c>
      <c r="AQ31" s="26">
        <v>5</v>
      </c>
      <c r="AR31" s="26">
        <v>5</v>
      </c>
      <c r="AS31" s="26">
        <v>6</v>
      </c>
      <c r="AT31" s="27">
        <f t="shared" si="8"/>
        <v>5.25</v>
      </c>
      <c r="AU31" s="26">
        <v>6</v>
      </c>
      <c r="AV31" s="47">
        <v>4</v>
      </c>
      <c r="AW31" s="26">
        <v>3</v>
      </c>
      <c r="AX31" s="26">
        <v>6</v>
      </c>
      <c r="AY31" s="27">
        <f t="shared" si="9"/>
        <v>4.75</v>
      </c>
      <c r="AZ31" s="42">
        <f t="shared" si="10"/>
        <v>5</v>
      </c>
      <c r="BB31" s="41">
        <v>6</v>
      </c>
      <c r="BC31" s="26">
        <v>6</v>
      </c>
      <c r="BD31" s="26">
        <v>3</v>
      </c>
      <c r="BE31" s="26">
        <v>6</v>
      </c>
      <c r="BF31" s="27">
        <f t="shared" si="11"/>
        <v>5.5</v>
      </c>
      <c r="BG31" s="26">
        <v>6</v>
      </c>
      <c r="BH31" s="26">
        <v>6</v>
      </c>
      <c r="BI31" s="26">
        <v>3</v>
      </c>
      <c r="BJ31" s="27">
        <f t="shared" si="12"/>
        <v>5.33333333333333</v>
      </c>
      <c r="BK31" s="42">
        <f t="shared" si="13"/>
        <v>5.42857142857143</v>
      </c>
      <c r="BM31" s="41">
        <v>4</v>
      </c>
      <c r="BN31" s="26">
        <v>4</v>
      </c>
      <c r="BO31" s="42">
        <f t="shared" si="14"/>
        <v>8</v>
      </c>
      <c r="BP31" s="41">
        <v>5</v>
      </c>
      <c r="BQ31" s="26">
        <v>4</v>
      </c>
      <c r="BR31" s="42">
        <f t="shared" si="15"/>
        <v>9</v>
      </c>
      <c r="BS31" s="26">
        <f t="shared" si="16"/>
        <v>1</v>
      </c>
      <c r="BU31" s="46">
        <v>3</v>
      </c>
      <c r="BV31" s="46">
        <v>1</v>
      </c>
      <c r="BW31" s="46">
        <v>1</v>
      </c>
      <c r="BX31" s="46">
        <v>0</v>
      </c>
      <c r="BY31" s="46">
        <v>15</v>
      </c>
      <c r="BZ31" s="46">
        <v>1</v>
      </c>
      <c r="CA31" s="46">
        <v>0</v>
      </c>
      <c r="CB31" s="46">
        <v>1</v>
      </c>
      <c r="CC31" s="46">
        <v>3</v>
      </c>
      <c r="CD31" s="46">
        <v>1</v>
      </c>
      <c r="CE31" s="46">
        <v>0</v>
      </c>
      <c r="CF31" s="46">
        <v>1</v>
      </c>
      <c r="CG31" s="46">
        <v>2</v>
      </c>
      <c r="CH31" s="46">
        <v>2</v>
      </c>
      <c r="CI31" s="46">
        <v>67</v>
      </c>
      <c r="CJ31" s="46">
        <v>336.4569</v>
      </c>
    </row>
    <row r="32" ht="14.5" spans="1:88">
      <c r="A32" t="s">
        <v>121</v>
      </c>
      <c r="B32">
        <v>15</v>
      </c>
      <c r="C32" t="s">
        <v>91</v>
      </c>
      <c r="D32" t="s">
        <v>84</v>
      </c>
      <c r="E32" t="s">
        <v>85</v>
      </c>
      <c r="F32" t="s">
        <v>87</v>
      </c>
      <c r="G32" t="s">
        <v>87</v>
      </c>
      <c r="H32" t="s">
        <v>87</v>
      </c>
      <c r="J32" s="7">
        <v>4</v>
      </c>
      <c r="K32">
        <v>3</v>
      </c>
      <c r="L32" s="27">
        <f t="shared" si="0"/>
        <v>3.5</v>
      </c>
      <c r="M32">
        <v>6</v>
      </c>
      <c r="N32">
        <v>7</v>
      </c>
      <c r="O32">
        <v>7</v>
      </c>
      <c r="P32" s="27">
        <f t="shared" si="1"/>
        <v>6.66666666666667</v>
      </c>
      <c r="Q32">
        <v>1</v>
      </c>
      <c r="R32">
        <v>1</v>
      </c>
      <c r="S32">
        <v>1</v>
      </c>
      <c r="T32" s="27">
        <f t="shared" si="2"/>
        <v>1</v>
      </c>
      <c r="U32" s="8">
        <f t="shared" si="3"/>
        <v>3.75</v>
      </c>
      <c r="W32" s="28">
        <v>7</v>
      </c>
      <c r="X32">
        <v>6</v>
      </c>
      <c r="Y32">
        <v>1</v>
      </c>
      <c r="Z32">
        <v>1</v>
      </c>
      <c r="AB32">
        <v>4</v>
      </c>
      <c r="AC32" s="27">
        <f t="shared" si="4"/>
        <v>3.4</v>
      </c>
      <c r="AD32">
        <v>5</v>
      </c>
      <c r="AE32">
        <v>1</v>
      </c>
      <c r="AF32">
        <v>3</v>
      </c>
      <c r="AG32">
        <v>5</v>
      </c>
      <c r="AH32" s="27">
        <f t="shared" si="5"/>
        <v>3.75</v>
      </c>
      <c r="AI32">
        <v>5</v>
      </c>
      <c r="AJ32">
        <v>6</v>
      </c>
      <c r="AK32">
        <v>2</v>
      </c>
      <c r="AL32">
        <v>1</v>
      </c>
      <c r="AM32" s="27">
        <f t="shared" si="6"/>
        <v>2.75</v>
      </c>
      <c r="AN32" s="8">
        <f t="shared" si="7"/>
        <v>3.57142857142857</v>
      </c>
      <c r="AP32" s="7">
        <v>4</v>
      </c>
      <c r="AQ32">
        <v>5</v>
      </c>
      <c r="AR32">
        <v>7</v>
      </c>
      <c r="AS32" s="33">
        <v>5</v>
      </c>
      <c r="AT32" s="27">
        <f t="shared" si="8"/>
        <v>5.25</v>
      </c>
      <c r="AU32" s="33">
        <v>6</v>
      </c>
      <c r="AV32">
        <v>7</v>
      </c>
      <c r="AW32">
        <v>7</v>
      </c>
      <c r="AX32">
        <v>7</v>
      </c>
      <c r="AY32" s="27">
        <f t="shared" si="9"/>
        <v>6.75</v>
      </c>
      <c r="AZ32" s="8">
        <f t="shared" si="10"/>
        <v>6</v>
      </c>
      <c r="BB32" s="7">
        <v>3</v>
      </c>
      <c r="BC32">
        <v>6</v>
      </c>
      <c r="BD32">
        <v>2</v>
      </c>
      <c r="BE32">
        <v>3</v>
      </c>
      <c r="BF32" s="27">
        <f t="shared" si="11"/>
        <v>4.25</v>
      </c>
      <c r="BG32">
        <v>7</v>
      </c>
      <c r="BH32">
        <v>6</v>
      </c>
      <c r="BI32">
        <v>1</v>
      </c>
      <c r="BJ32" s="27">
        <f t="shared" si="12"/>
        <v>6.33333333333333</v>
      </c>
      <c r="BK32" s="8">
        <f t="shared" si="13"/>
        <v>5.14285714285714</v>
      </c>
      <c r="BM32" s="7">
        <v>0</v>
      </c>
      <c r="BN32">
        <v>5.5</v>
      </c>
      <c r="BO32" s="8">
        <f t="shared" si="14"/>
        <v>5.5</v>
      </c>
      <c r="BP32" s="7">
        <v>0</v>
      </c>
      <c r="BQ32">
        <v>4.5</v>
      </c>
      <c r="BR32" s="8">
        <f t="shared" si="15"/>
        <v>4.5</v>
      </c>
      <c r="BS32">
        <f t="shared" si="16"/>
        <v>-1</v>
      </c>
      <c r="BU32" s="2">
        <v>1</v>
      </c>
      <c r="BV32" s="2">
        <v>4</v>
      </c>
      <c r="BW32" s="2">
        <v>6</v>
      </c>
      <c r="BX32" s="2">
        <v>1</v>
      </c>
      <c r="BY32" s="2">
        <v>15</v>
      </c>
      <c r="BZ32" s="2">
        <v>1</v>
      </c>
      <c r="CA32" s="2">
        <v>0</v>
      </c>
      <c r="CB32" s="2">
        <v>0</v>
      </c>
      <c r="CC32" s="2">
        <v>1</v>
      </c>
      <c r="CD32" s="2">
        <v>3</v>
      </c>
      <c r="CE32" s="2">
        <v>0</v>
      </c>
      <c r="CF32" s="2">
        <v>0</v>
      </c>
      <c r="CG32" s="2">
        <v>1</v>
      </c>
      <c r="CH32" s="2">
        <v>2</v>
      </c>
      <c r="CI32" s="2">
        <v>29</v>
      </c>
      <c r="CJ32" s="2">
        <v>446.1625</v>
      </c>
    </row>
    <row r="33" ht="14.5" spans="1:88">
      <c r="A33" t="s">
        <v>122</v>
      </c>
      <c r="B33">
        <v>15</v>
      </c>
      <c r="C33" t="s">
        <v>91</v>
      </c>
      <c r="D33" t="s">
        <v>84</v>
      </c>
      <c r="E33" t="s">
        <v>85</v>
      </c>
      <c r="F33" t="s">
        <v>86</v>
      </c>
      <c r="G33" t="s">
        <v>86</v>
      </c>
      <c r="H33" t="s">
        <v>86</v>
      </c>
      <c r="J33" s="7">
        <v>7</v>
      </c>
      <c r="K33">
        <v>3</v>
      </c>
      <c r="L33" s="27">
        <f t="shared" si="0"/>
        <v>5</v>
      </c>
      <c r="M33">
        <v>7</v>
      </c>
      <c r="N33">
        <v>7</v>
      </c>
      <c r="O33">
        <v>7</v>
      </c>
      <c r="P33" s="27">
        <f t="shared" si="1"/>
        <v>7</v>
      </c>
      <c r="Q33">
        <v>1</v>
      </c>
      <c r="R33">
        <v>1</v>
      </c>
      <c r="S33">
        <v>1</v>
      </c>
      <c r="T33" s="27">
        <f t="shared" si="2"/>
        <v>1</v>
      </c>
      <c r="U33" s="8">
        <f t="shared" si="3"/>
        <v>4.25</v>
      </c>
      <c r="W33" s="28">
        <v>7</v>
      </c>
      <c r="X33">
        <v>7</v>
      </c>
      <c r="Y33">
        <v>1</v>
      </c>
      <c r="Z33">
        <v>7</v>
      </c>
      <c r="AA33">
        <v>7</v>
      </c>
      <c r="AB33">
        <v>7</v>
      </c>
      <c r="AC33" s="27">
        <f t="shared" si="4"/>
        <v>6.8</v>
      </c>
      <c r="AD33">
        <v>1</v>
      </c>
      <c r="AE33">
        <v>6</v>
      </c>
      <c r="AF33">
        <v>2</v>
      </c>
      <c r="AG33">
        <v>7</v>
      </c>
      <c r="AH33" s="27">
        <f t="shared" si="5"/>
        <v>4.75</v>
      </c>
      <c r="AI33">
        <v>2</v>
      </c>
      <c r="AJ33">
        <v>6</v>
      </c>
      <c r="AK33">
        <v>2</v>
      </c>
      <c r="AL33">
        <v>2</v>
      </c>
      <c r="AM33" s="27">
        <f t="shared" si="6"/>
        <v>3.75</v>
      </c>
      <c r="AN33" s="8">
        <f t="shared" si="7"/>
        <v>5.35714285714286</v>
      </c>
      <c r="AP33" s="7">
        <v>5</v>
      </c>
      <c r="AQ33">
        <v>5</v>
      </c>
      <c r="AR33">
        <v>5</v>
      </c>
      <c r="AS33">
        <v>6</v>
      </c>
      <c r="AT33" s="27">
        <f t="shared" si="8"/>
        <v>5.25</v>
      </c>
      <c r="AU33">
        <v>6</v>
      </c>
      <c r="AV33">
        <v>7</v>
      </c>
      <c r="AW33">
        <v>7</v>
      </c>
      <c r="AX33">
        <v>7</v>
      </c>
      <c r="AY33" s="27">
        <f t="shared" si="9"/>
        <v>6.75</v>
      </c>
      <c r="AZ33" s="8">
        <f t="shared" si="10"/>
        <v>6</v>
      </c>
      <c r="BB33" s="7">
        <v>7</v>
      </c>
      <c r="BC33">
        <v>7</v>
      </c>
      <c r="BD33" s="16">
        <v>1</v>
      </c>
      <c r="BE33">
        <v>7</v>
      </c>
      <c r="BF33" s="27">
        <f t="shared" si="11"/>
        <v>6.75</v>
      </c>
      <c r="BG33">
        <v>7</v>
      </c>
      <c r="BH33">
        <v>7</v>
      </c>
      <c r="BI33">
        <v>1</v>
      </c>
      <c r="BJ33" s="27">
        <f t="shared" si="12"/>
        <v>6.66666666666667</v>
      </c>
      <c r="BK33" s="8">
        <f t="shared" si="13"/>
        <v>6.71428571428571</v>
      </c>
      <c r="BM33" s="7">
        <v>0</v>
      </c>
      <c r="BN33">
        <v>3</v>
      </c>
      <c r="BO33" s="8">
        <f t="shared" si="14"/>
        <v>3</v>
      </c>
      <c r="BP33" s="7">
        <v>0.5</v>
      </c>
      <c r="BQ33">
        <v>1.5</v>
      </c>
      <c r="BR33" s="8">
        <f t="shared" si="15"/>
        <v>2</v>
      </c>
      <c r="BS33">
        <f t="shared" si="16"/>
        <v>-1</v>
      </c>
      <c r="BU33" s="2">
        <v>1</v>
      </c>
      <c r="BV33" s="2">
        <v>0</v>
      </c>
      <c r="BW33" s="2">
        <v>0</v>
      </c>
      <c r="BX33" s="2">
        <v>0</v>
      </c>
      <c r="BY33" s="2">
        <v>15</v>
      </c>
      <c r="BZ33" s="2">
        <v>1</v>
      </c>
      <c r="CA33" s="2">
        <v>0</v>
      </c>
      <c r="CB33" s="2">
        <v>1</v>
      </c>
      <c r="CC33" s="2">
        <v>1</v>
      </c>
      <c r="CD33" s="2">
        <v>3</v>
      </c>
      <c r="CE33" s="2">
        <v>0</v>
      </c>
      <c r="CF33" s="2">
        <v>1</v>
      </c>
      <c r="CG33" s="2">
        <v>1</v>
      </c>
      <c r="CH33" s="2">
        <v>3</v>
      </c>
      <c r="CI33" s="2">
        <v>29</v>
      </c>
      <c r="CJ33" s="2">
        <v>481.9362</v>
      </c>
    </row>
    <row r="34" s="26" customFormat="1" ht="14.5" spans="1:88">
      <c r="A34" s="26" t="s">
        <v>123</v>
      </c>
      <c r="B34" s="26">
        <v>15</v>
      </c>
      <c r="C34" s="26" t="s">
        <v>83</v>
      </c>
      <c r="D34" s="26" t="s">
        <v>89</v>
      </c>
      <c r="E34" s="26" t="s">
        <v>85</v>
      </c>
      <c r="F34" s="26" t="s">
        <v>86</v>
      </c>
      <c r="G34" s="26" t="s">
        <v>87</v>
      </c>
      <c r="H34" s="26" t="s">
        <v>86</v>
      </c>
      <c r="J34" s="41">
        <v>4</v>
      </c>
      <c r="K34" s="26">
        <v>5</v>
      </c>
      <c r="L34" s="27">
        <f t="shared" si="0"/>
        <v>4.5</v>
      </c>
      <c r="M34" s="26">
        <v>6</v>
      </c>
      <c r="N34" s="26">
        <v>5</v>
      </c>
      <c r="O34" s="26">
        <v>6</v>
      </c>
      <c r="P34" s="27">
        <f t="shared" si="1"/>
        <v>5.66666666666667</v>
      </c>
      <c r="Q34" s="26">
        <v>4</v>
      </c>
      <c r="R34" s="26">
        <v>3</v>
      </c>
      <c r="S34" s="26">
        <v>3</v>
      </c>
      <c r="T34" s="27">
        <f t="shared" si="2"/>
        <v>3.33333333333333</v>
      </c>
      <c r="U34" s="42">
        <f t="shared" si="3"/>
        <v>4.5</v>
      </c>
      <c r="W34" s="28">
        <v>7</v>
      </c>
      <c r="X34" s="26">
        <v>7</v>
      </c>
      <c r="Y34" s="26">
        <v>3</v>
      </c>
      <c r="Z34" s="26">
        <v>3</v>
      </c>
      <c r="AA34" s="26">
        <v>7</v>
      </c>
      <c r="AB34" s="26">
        <v>6</v>
      </c>
      <c r="AC34" s="27">
        <f t="shared" si="4"/>
        <v>5.4</v>
      </c>
      <c r="AD34" s="26">
        <v>3</v>
      </c>
      <c r="AE34" s="26">
        <v>3</v>
      </c>
      <c r="AF34" s="26">
        <v>3</v>
      </c>
      <c r="AG34" s="26">
        <v>6</v>
      </c>
      <c r="AH34" s="27">
        <f t="shared" si="5"/>
        <v>4</v>
      </c>
      <c r="AI34" s="26">
        <v>2</v>
      </c>
      <c r="AJ34" s="26">
        <v>6</v>
      </c>
      <c r="AK34" s="26">
        <v>2</v>
      </c>
      <c r="AL34" s="26">
        <v>4</v>
      </c>
      <c r="AM34" s="27">
        <f t="shared" si="6"/>
        <v>4.25</v>
      </c>
      <c r="AN34" s="42">
        <f t="shared" si="7"/>
        <v>4.78571428571429</v>
      </c>
      <c r="AP34" s="41">
        <v>5</v>
      </c>
      <c r="AQ34" s="26">
        <v>5</v>
      </c>
      <c r="AR34" s="26">
        <v>5</v>
      </c>
      <c r="AS34" s="26">
        <v>5</v>
      </c>
      <c r="AT34" s="27">
        <f t="shared" si="8"/>
        <v>5</v>
      </c>
      <c r="AU34" s="26">
        <v>4</v>
      </c>
      <c r="AV34" s="26">
        <v>5</v>
      </c>
      <c r="AW34" s="26">
        <v>5</v>
      </c>
      <c r="AX34" s="26">
        <v>4</v>
      </c>
      <c r="AY34" s="27">
        <f t="shared" si="9"/>
        <v>4.5</v>
      </c>
      <c r="AZ34" s="42">
        <f t="shared" si="10"/>
        <v>4.75</v>
      </c>
      <c r="BB34" s="41">
        <v>4</v>
      </c>
      <c r="BC34" s="26">
        <v>4</v>
      </c>
      <c r="BD34" s="26">
        <v>6</v>
      </c>
      <c r="BE34" s="26">
        <v>4</v>
      </c>
      <c r="BF34" s="27">
        <f t="shared" si="11"/>
        <v>3.25</v>
      </c>
      <c r="BG34" s="26">
        <v>3</v>
      </c>
      <c r="BH34" s="26">
        <v>3</v>
      </c>
      <c r="BI34" s="26">
        <v>4</v>
      </c>
      <c r="BJ34" s="27">
        <f t="shared" si="12"/>
        <v>3</v>
      </c>
      <c r="BK34" s="42">
        <f t="shared" si="13"/>
        <v>3.14285714285714</v>
      </c>
      <c r="BM34" s="41">
        <v>1</v>
      </c>
      <c r="BN34" s="26">
        <v>5</v>
      </c>
      <c r="BO34" s="42">
        <f t="shared" si="14"/>
        <v>6</v>
      </c>
      <c r="BP34" s="41">
        <v>0</v>
      </c>
      <c r="BQ34" s="26">
        <v>1</v>
      </c>
      <c r="BR34" s="42">
        <f t="shared" si="15"/>
        <v>1</v>
      </c>
      <c r="BS34" s="26">
        <f t="shared" si="16"/>
        <v>-5</v>
      </c>
      <c r="BU34" s="46">
        <v>1</v>
      </c>
      <c r="BV34" s="46">
        <v>0</v>
      </c>
      <c r="BW34" s="46">
        <v>0</v>
      </c>
      <c r="BX34" s="46">
        <v>3</v>
      </c>
      <c r="BY34" s="46">
        <v>17</v>
      </c>
      <c r="BZ34" s="46">
        <v>1</v>
      </c>
      <c r="CA34" s="46">
        <v>0</v>
      </c>
      <c r="CB34" s="46">
        <v>0</v>
      </c>
      <c r="CC34" s="46">
        <v>2</v>
      </c>
      <c r="CD34" s="46">
        <v>1</v>
      </c>
      <c r="CE34" s="46">
        <v>0</v>
      </c>
      <c r="CF34" s="46">
        <v>0</v>
      </c>
      <c r="CG34" s="46">
        <v>2</v>
      </c>
      <c r="CH34" s="46">
        <v>2</v>
      </c>
      <c r="CI34" s="46">
        <v>65</v>
      </c>
      <c r="CJ34" s="46">
        <v>481.6322</v>
      </c>
    </row>
    <row r="35" s="26" customFormat="1" ht="14.5" spans="1:88">
      <c r="A35" s="26" t="s">
        <v>124</v>
      </c>
      <c r="B35" s="26">
        <v>15</v>
      </c>
      <c r="C35" s="26" t="s">
        <v>83</v>
      </c>
      <c r="D35" s="26" t="s">
        <v>89</v>
      </c>
      <c r="E35" s="26" t="s">
        <v>85</v>
      </c>
      <c r="F35" s="26" t="s">
        <v>87</v>
      </c>
      <c r="G35" s="26" t="s">
        <v>87</v>
      </c>
      <c r="H35" s="26" t="s">
        <v>86</v>
      </c>
      <c r="J35" s="41">
        <v>3</v>
      </c>
      <c r="K35" s="26">
        <v>2</v>
      </c>
      <c r="L35" s="27">
        <f t="shared" si="0"/>
        <v>2.5</v>
      </c>
      <c r="M35" s="26">
        <v>5</v>
      </c>
      <c r="N35" s="26">
        <v>6</v>
      </c>
      <c r="O35" s="26">
        <v>6</v>
      </c>
      <c r="P35" s="27">
        <f t="shared" si="1"/>
        <v>5.66666666666667</v>
      </c>
      <c r="Q35" s="26">
        <v>5</v>
      </c>
      <c r="R35" s="26">
        <v>2</v>
      </c>
      <c r="S35" s="26">
        <v>3</v>
      </c>
      <c r="T35" s="27">
        <f t="shared" si="2"/>
        <v>3.33333333333333</v>
      </c>
      <c r="U35" s="42">
        <f t="shared" si="3"/>
        <v>4</v>
      </c>
      <c r="W35" s="28">
        <v>7</v>
      </c>
      <c r="X35" s="26">
        <v>7</v>
      </c>
      <c r="Y35" s="45">
        <v>4</v>
      </c>
      <c r="Z35" s="26">
        <v>3</v>
      </c>
      <c r="AA35" s="26">
        <v>2</v>
      </c>
      <c r="AB35" s="26">
        <v>5</v>
      </c>
      <c r="AC35" s="27">
        <f t="shared" si="4"/>
        <v>4</v>
      </c>
      <c r="AD35" s="26">
        <v>4</v>
      </c>
      <c r="AE35" s="26">
        <v>3</v>
      </c>
      <c r="AF35" s="45">
        <v>5</v>
      </c>
      <c r="AG35" s="26">
        <v>3</v>
      </c>
      <c r="AH35" s="27">
        <f t="shared" si="5"/>
        <v>3</v>
      </c>
      <c r="AI35" s="26">
        <v>6</v>
      </c>
      <c r="AJ35" s="26">
        <v>6</v>
      </c>
      <c r="AK35" s="26">
        <v>6</v>
      </c>
      <c r="AL35" s="26">
        <v>6</v>
      </c>
      <c r="AM35" s="27">
        <f t="shared" si="6"/>
        <v>4.75</v>
      </c>
      <c r="AN35" s="42">
        <f t="shared" si="7"/>
        <v>4.14285714285714</v>
      </c>
      <c r="AP35" s="41">
        <v>6</v>
      </c>
      <c r="AQ35" s="26">
        <v>6</v>
      </c>
      <c r="AR35" s="26">
        <v>6</v>
      </c>
      <c r="AS35" s="26">
        <v>4</v>
      </c>
      <c r="AT35" s="27">
        <f t="shared" si="8"/>
        <v>5.5</v>
      </c>
      <c r="AU35" s="26">
        <v>4</v>
      </c>
      <c r="AV35" s="26">
        <v>6</v>
      </c>
      <c r="AW35" s="26">
        <v>6</v>
      </c>
      <c r="AX35" s="26">
        <v>4</v>
      </c>
      <c r="AY35" s="27">
        <f t="shared" si="9"/>
        <v>5</v>
      </c>
      <c r="AZ35" s="42">
        <f t="shared" si="10"/>
        <v>5.25</v>
      </c>
      <c r="BB35" s="41">
        <v>6</v>
      </c>
      <c r="BC35" s="26">
        <v>4</v>
      </c>
      <c r="BD35" s="26">
        <v>1</v>
      </c>
      <c r="BE35" s="26">
        <v>7</v>
      </c>
      <c r="BF35" s="27">
        <f t="shared" si="11"/>
        <v>5.75</v>
      </c>
      <c r="BG35" s="26">
        <v>7</v>
      </c>
      <c r="BH35" s="26">
        <v>3</v>
      </c>
      <c r="BI35" s="26">
        <v>5</v>
      </c>
      <c r="BJ35" s="27">
        <f t="shared" si="12"/>
        <v>4</v>
      </c>
      <c r="BK35" s="42">
        <f t="shared" si="13"/>
        <v>5</v>
      </c>
      <c r="BM35" s="41">
        <v>0.5</v>
      </c>
      <c r="BN35" s="26">
        <v>2</v>
      </c>
      <c r="BO35" s="42">
        <f t="shared" si="14"/>
        <v>2.5</v>
      </c>
      <c r="BP35" s="41">
        <v>0.5</v>
      </c>
      <c r="BQ35" s="26">
        <v>0</v>
      </c>
      <c r="BR35" s="42">
        <f t="shared" si="15"/>
        <v>0.5</v>
      </c>
      <c r="BS35" s="26">
        <f t="shared" si="16"/>
        <v>-2</v>
      </c>
      <c r="BU35" s="46">
        <v>1</v>
      </c>
      <c r="BV35" s="46">
        <v>4</v>
      </c>
      <c r="BW35" s="46">
        <v>6</v>
      </c>
      <c r="BX35" s="46">
        <v>0</v>
      </c>
      <c r="BY35" s="46">
        <v>15</v>
      </c>
      <c r="BZ35" s="46">
        <v>1</v>
      </c>
      <c r="CA35" s="46">
        <v>0</v>
      </c>
      <c r="CB35" s="46">
        <v>2</v>
      </c>
      <c r="CC35" s="46">
        <v>3</v>
      </c>
      <c r="CD35" s="46">
        <v>2</v>
      </c>
      <c r="CE35" s="46">
        <v>1</v>
      </c>
      <c r="CF35" s="46">
        <v>4</v>
      </c>
      <c r="CG35" s="46">
        <v>3</v>
      </c>
      <c r="CH35" s="46">
        <v>2</v>
      </c>
      <c r="CI35" s="46">
        <v>150</v>
      </c>
      <c r="CJ35" s="46">
        <v>374.9441</v>
      </c>
    </row>
    <row r="36" s="26" customFormat="1" ht="14.5" spans="1:88">
      <c r="A36" s="26" t="s">
        <v>125</v>
      </c>
      <c r="B36" s="26">
        <v>16</v>
      </c>
      <c r="C36" s="26" t="s">
        <v>83</v>
      </c>
      <c r="D36" s="26" t="s">
        <v>89</v>
      </c>
      <c r="E36" s="26" t="s">
        <v>85</v>
      </c>
      <c r="F36" s="26" t="s">
        <v>86</v>
      </c>
      <c r="G36" s="26" t="s">
        <v>86</v>
      </c>
      <c r="H36" s="26" t="s">
        <v>86</v>
      </c>
      <c r="J36" s="41">
        <v>3</v>
      </c>
      <c r="K36" s="26">
        <v>4</v>
      </c>
      <c r="L36" s="27">
        <f t="shared" si="0"/>
        <v>3.5</v>
      </c>
      <c r="M36" s="26">
        <v>3</v>
      </c>
      <c r="N36" s="26">
        <v>4</v>
      </c>
      <c r="O36" s="26">
        <v>5</v>
      </c>
      <c r="P36" s="27">
        <f t="shared" si="1"/>
        <v>4</v>
      </c>
      <c r="Q36" s="26">
        <v>1</v>
      </c>
      <c r="R36" s="26">
        <v>1</v>
      </c>
      <c r="S36" s="26">
        <v>1</v>
      </c>
      <c r="T36" s="27">
        <f t="shared" si="2"/>
        <v>1</v>
      </c>
      <c r="U36" s="42">
        <f t="shared" si="3"/>
        <v>2.75</v>
      </c>
      <c r="W36" s="28">
        <v>7</v>
      </c>
      <c r="X36" s="26">
        <v>7</v>
      </c>
      <c r="Y36" s="45">
        <v>4</v>
      </c>
      <c r="Z36" s="26">
        <v>7</v>
      </c>
      <c r="AA36" s="26">
        <v>7</v>
      </c>
      <c r="AB36" s="26">
        <v>7</v>
      </c>
      <c r="AC36" s="27">
        <f t="shared" si="4"/>
        <v>6.2</v>
      </c>
      <c r="AD36" s="26">
        <v>1</v>
      </c>
      <c r="AE36" s="26">
        <v>1</v>
      </c>
      <c r="AF36" s="26">
        <v>4</v>
      </c>
      <c r="AG36" s="26">
        <v>6</v>
      </c>
      <c r="AH36" s="27">
        <f t="shared" si="5"/>
        <v>2.75</v>
      </c>
      <c r="AI36" s="26">
        <v>6</v>
      </c>
      <c r="AJ36" s="26">
        <v>6</v>
      </c>
      <c r="AK36" s="26">
        <v>5</v>
      </c>
      <c r="AL36" s="26">
        <v>1</v>
      </c>
      <c r="AM36" s="27">
        <f t="shared" si="6"/>
        <v>3.25</v>
      </c>
      <c r="AN36" s="42">
        <f t="shared" si="7"/>
        <v>4.42857142857143</v>
      </c>
      <c r="AP36" s="41">
        <v>6</v>
      </c>
      <c r="AQ36" s="26">
        <v>6</v>
      </c>
      <c r="AR36" s="26">
        <v>6</v>
      </c>
      <c r="AS36" s="26">
        <v>6</v>
      </c>
      <c r="AT36" s="27">
        <f t="shared" si="8"/>
        <v>6</v>
      </c>
      <c r="AU36" s="26">
        <v>6</v>
      </c>
      <c r="AV36" s="26">
        <v>6</v>
      </c>
      <c r="AW36" s="26">
        <v>6</v>
      </c>
      <c r="AX36" s="26">
        <v>6</v>
      </c>
      <c r="AY36" s="27">
        <f t="shared" si="9"/>
        <v>6</v>
      </c>
      <c r="AZ36" s="42">
        <f t="shared" si="10"/>
        <v>6</v>
      </c>
      <c r="BB36" s="41">
        <v>6</v>
      </c>
      <c r="BC36" s="26">
        <v>6</v>
      </c>
      <c r="BD36" s="26">
        <v>2</v>
      </c>
      <c r="BE36" s="26">
        <v>6</v>
      </c>
      <c r="BF36" s="27">
        <f t="shared" si="11"/>
        <v>5.75</v>
      </c>
      <c r="BG36" s="26">
        <v>6</v>
      </c>
      <c r="BH36" s="26">
        <v>6</v>
      </c>
      <c r="BI36" s="26">
        <v>2</v>
      </c>
      <c r="BJ36" s="27">
        <f t="shared" si="12"/>
        <v>5.66666666666667</v>
      </c>
      <c r="BK36" s="42">
        <f t="shared" si="13"/>
        <v>5.71428571428571</v>
      </c>
      <c r="BM36" s="41">
        <v>0</v>
      </c>
      <c r="BN36" s="26">
        <v>3.5</v>
      </c>
      <c r="BO36" s="42">
        <f t="shared" si="14"/>
        <v>3.5</v>
      </c>
      <c r="BP36" s="41">
        <v>0</v>
      </c>
      <c r="BQ36" s="26">
        <v>2.5</v>
      </c>
      <c r="BR36" s="42">
        <f t="shared" si="15"/>
        <v>2.5</v>
      </c>
      <c r="BS36" s="26">
        <f t="shared" si="16"/>
        <v>-1</v>
      </c>
      <c r="BU36" s="46">
        <v>1</v>
      </c>
      <c r="BV36" s="46">
        <v>1</v>
      </c>
      <c r="BW36" s="46">
        <v>1</v>
      </c>
      <c r="BX36" s="46">
        <v>2</v>
      </c>
      <c r="BY36" s="46">
        <v>17</v>
      </c>
      <c r="BZ36" s="46">
        <v>1</v>
      </c>
      <c r="CA36" s="46">
        <v>0</v>
      </c>
      <c r="CB36" s="46">
        <v>2</v>
      </c>
      <c r="CC36" s="46">
        <v>2</v>
      </c>
      <c r="CD36" s="46">
        <v>4</v>
      </c>
      <c r="CE36" s="46">
        <v>0</v>
      </c>
      <c r="CF36" s="46">
        <v>0</v>
      </c>
      <c r="CG36" s="46">
        <v>2</v>
      </c>
      <c r="CH36" s="46">
        <v>2</v>
      </c>
      <c r="CI36" s="46">
        <v>52</v>
      </c>
      <c r="CJ36" s="46">
        <v>256.7368</v>
      </c>
    </row>
    <row r="37" ht="14.5" spans="1:88">
      <c r="A37" t="s">
        <v>126</v>
      </c>
      <c r="B37">
        <v>15</v>
      </c>
      <c r="C37" t="s">
        <v>83</v>
      </c>
      <c r="D37" t="s">
        <v>84</v>
      </c>
      <c r="E37" t="s">
        <v>85</v>
      </c>
      <c r="F37" t="s">
        <v>86</v>
      </c>
      <c r="G37" t="s">
        <v>86</v>
      </c>
      <c r="H37" t="s">
        <v>86</v>
      </c>
      <c r="J37" s="7">
        <v>5</v>
      </c>
      <c r="K37">
        <v>5</v>
      </c>
      <c r="L37" s="27">
        <f t="shared" si="0"/>
        <v>5</v>
      </c>
      <c r="M37">
        <v>6</v>
      </c>
      <c r="N37">
        <v>7</v>
      </c>
      <c r="O37">
        <v>7</v>
      </c>
      <c r="P37" s="27">
        <f t="shared" si="1"/>
        <v>6.66666666666667</v>
      </c>
      <c r="Q37">
        <v>3</v>
      </c>
      <c r="R37">
        <v>2</v>
      </c>
      <c r="S37">
        <v>3</v>
      </c>
      <c r="T37" s="27">
        <f t="shared" si="2"/>
        <v>2.66666666666667</v>
      </c>
      <c r="U37" s="8">
        <f t="shared" si="3"/>
        <v>4.75</v>
      </c>
      <c r="W37" s="28">
        <v>6</v>
      </c>
      <c r="X37">
        <v>7</v>
      </c>
      <c r="Y37">
        <v>3</v>
      </c>
      <c r="Z37">
        <v>4</v>
      </c>
      <c r="AA37">
        <v>5</v>
      </c>
      <c r="AB37">
        <v>5</v>
      </c>
      <c r="AC37" s="27">
        <f t="shared" si="4"/>
        <v>5</v>
      </c>
      <c r="AD37">
        <v>5</v>
      </c>
      <c r="AE37">
        <v>2</v>
      </c>
      <c r="AF37">
        <v>3</v>
      </c>
      <c r="AG37">
        <v>5</v>
      </c>
      <c r="AH37" s="27">
        <f t="shared" si="5"/>
        <v>4</v>
      </c>
      <c r="AI37">
        <v>6</v>
      </c>
      <c r="AJ37">
        <v>5</v>
      </c>
      <c r="AK37">
        <v>5</v>
      </c>
      <c r="AL37">
        <v>4</v>
      </c>
      <c r="AM37" s="27">
        <f t="shared" si="6"/>
        <v>3.75</v>
      </c>
      <c r="AN37" s="8">
        <f t="shared" si="7"/>
        <v>4.42857142857143</v>
      </c>
      <c r="AP37" s="7">
        <v>5</v>
      </c>
      <c r="AQ37">
        <v>5</v>
      </c>
      <c r="AR37">
        <v>4</v>
      </c>
      <c r="AS37">
        <v>5</v>
      </c>
      <c r="AT37" s="27">
        <f t="shared" si="8"/>
        <v>4.75</v>
      </c>
      <c r="AU37">
        <v>6</v>
      </c>
      <c r="AV37">
        <v>6</v>
      </c>
      <c r="AW37">
        <v>6</v>
      </c>
      <c r="AX37">
        <v>7</v>
      </c>
      <c r="AY37" s="27">
        <f t="shared" si="9"/>
        <v>6.25</v>
      </c>
      <c r="AZ37" s="8">
        <f t="shared" si="10"/>
        <v>5.5</v>
      </c>
      <c r="BB37" s="7">
        <v>7</v>
      </c>
      <c r="BC37">
        <v>6</v>
      </c>
      <c r="BD37" s="16">
        <v>2</v>
      </c>
      <c r="BE37">
        <v>5</v>
      </c>
      <c r="BF37" s="27">
        <f t="shared" si="11"/>
        <v>5.75</v>
      </c>
      <c r="BG37">
        <v>7</v>
      </c>
      <c r="BH37">
        <v>7</v>
      </c>
      <c r="BI37">
        <v>2</v>
      </c>
      <c r="BJ37" s="27">
        <f t="shared" si="12"/>
        <v>6.33333333333333</v>
      </c>
      <c r="BK37" s="8">
        <f t="shared" si="13"/>
        <v>6</v>
      </c>
      <c r="BM37" s="7">
        <v>0</v>
      </c>
      <c r="BN37">
        <v>2.5</v>
      </c>
      <c r="BO37" s="8">
        <f t="shared" si="14"/>
        <v>2.5</v>
      </c>
      <c r="BP37" s="7">
        <v>0.5</v>
      </c>
      <c r="BQ37">
        <v>5.5</v>
      </c>
      <c r="BR37" s="8">
        <f t="shared" si="15"/>
        <v>6</v>
      </c>
      <c r="BS37">
        <f t="shared" si="16"/>
        <v>3.5</v>
      </c>
      <c r="BU37" s="2">
        <v>1</v>
      </c>
      <c r="BV37" s="2">
        <v>3</v>
      </c>
      <c r="BW37" s="2">
        <v>3</v>
      </c>
      <c r="BX37" s="2">
        <v>1</v>
      </c>
      <c r="BY37" s="2">
        <v>16</v>
      </c>
      <c r="BZ37" s="2">
        <v>1</v>
      </c>
      <c r="CA37" s="2">
        <v>0</v>
      </c>
      <c r="CB37" s="2">
        <v>1</v>
      </c>
      <c r="CC37" s="2">
        <v>1</v>
      </c>
      <c r="CD37" s="2">
        <v>2</v>
      </c>
      <c r="CE37" s="2">
        <v>0</v>
      </c>
      <c r="CF37" s="2">
        <v>1</v>
      </c>
      <c r="CG37" s="2">
        <v>2</v>
      </c>
      <c r="CH37" s="2">
        <v>3</v>
      </c>
      <c r="CI37" s="2">
        <v>50</v>
      </c>
      <c r="CJ37" s="2">
        <v>441.4683</v>
      </c>
    </row>
    <row r="38" s="26" customFormat="1" ht="14.5" spans="1:88">
      <c r="A38" s="26" t="s">
        <v>127</v>
      </c>
      <c r="B38" s="26">
        <v>16</v>
      </c>
      <c r="C38" s="26" t="s">
        <v>91</v>
      </c>
      <c r="D38" s="26" t="s">
        <v>89</v>
      </c>
      <c r="E38" s="26" t="s">
        <v>85</v>
      </c>
      <c r="F38" s="26" t="s">
        <v>86</v>
      </c>
      <c r="G38" s="26" t="s">
        <v>87</v>
      </c>
      <c r="H38" s="26" t="s">
        <v>86</v>
      </c>
      <c r="J38" s="41">
        <v>1</v>
      </c>
      <c r="K38" s="26">
        <v>1</v>
      </c>
      <c r="L38" s="27">
        <f t="shared" si="0"/>
        <v>1</v>
      </c>
      <c r="M38" s="26">
        <v>7</v>
      </c>
      <c r="N38" s="26">
        <v>7</v>
      </c>
      <c r="O38" s="26">
        <v>7</v>
      </c>
      <c r="P38" s="27">
        <f t="shared" si="1"/>
        <v>7</v>
      </c>
      <c r="Q38" s="26">
        <v>1</v>
      </c>
      <c r="R38" s="26">
        <v>1</v>
      </c>
      <c r="S38" s="26">
        <v>1</v>
      </c>
      <c r="T38" s="27">
        <f t="shared" si="2"/>
        <v>1</v>
      </c>
      <c r="U38" s="42">
        <f t="shared" si="3"/>
        <v>3.25</v>
      </c>
      <c r="W38" s="28">
        <v>7</v>
      </c>
      <c r="X38" s="26">
        <v>3</v>
      </c>
      <c r="Y38" s="26">
        <v>1</v>
      </c>
      <c r="Z38" s="26">
        <v>1</v>
      </c>
      <c r="AA38" s="26">
        <v>5</v>
      </c>
      <c r="AB38" s="26">
        <v>7</v>
      </c>
      <c r="AC38" s="27">
        <f t="shared" si="4"/>
        <v>4.4</v>
      </c>
      <c r="AD38" s="26">
        <v>2</v>
      </c>
      <c r="AE38" s="26">
        <v>2</v>
      </c>
      <c r="AF38" s="26">
        <v>6</v>
      </c>
      <c r="AG38" s="26">
        <v>2</v>
      </c>
      <c r="AH38" s="27">
        <f t="shared" si="5"/>
        <v>1.75</v>
      </c>
      <c r="AI38" s="26">
        <v>2</v>
      </c>
      <c r="AJ38" s="26">
        <v>4</v>
      </c>
      <c r="AK38" s="26">
        <v>5</v>
      </c>
      <c r="AL38" s="26">
        <v>1</v>
      </c>
      <c r="AM38" s="27">
        <f t="shared" si="6"/>
        <v>3.75</v>
      </c>
      <c r="AN38" s="42">
        <f t="shared" si="7"/>
        <v>3.64285714285714</v>
      </c>
      <c r="AP38" s="41">
        <v>1</v>
      </c>
      <c r="AQ38" s="26">
        <v>1</v>
      </c>
      <c r="AR38" s="26">
        <v>3</v>
      </c>
      <c r="AS38" s="26">
        <v>3</v>
      </c>
      <c r="AT38" s="27">
        <f t="shared" si="8"/>
        <v>2</v>
      </c>
      <c r="AU38" s="26">
        <v>3</v>
      </c>
      <c r="AV38" s="26">
        <v>6</v>
      </c>
      <c r="AW38" s="26">
        <v>6</v>
      </c>
      <c r="AX38" s="26">
        <v>5</v>
      </c>
      <c r="AY38" s="27">
        <f t="shared" si="9"/>
        <v>5</v>
      </c>
      <c r="AZ38" s="42">
        <f t="shared" si="10"/>
        <v>3.5</v>
      </c>
      <c r="BB38" s="41">
        <v>1</v>
      </c>
      <c r="BC38" s="26">
        <v>1</v>
      </c>
      <c r="BD38" s="26">
        <v>5</v>
      </c>
      <c r="BE38" s="26">
        <v>2</v>
      </c>
      <c r="BF38" s="27">
        <f t="shared" si="11"/>
        <v>1.5</v>
      </c>
      <c r="BG38" s="26">
        <v>7</v>
      </c>
      <c r="BH38" s="26">
        <v>5</v>
      </c>
      <c r="BI38" s="26">
        <v>1</v>
      </c>
      <c r="BJ38" s="27">
        <f t="shared" si="12"/>
        <v>6</v>
      </c>
      <c r="BK38" s="42">
        <f t="shared" si="13"/>
        <v>3.42857142857143</v>
      </c>
      <c r="BM38" s="41">
        <v>2</v>
      </c>
      <c r="BN38" s="26">
        <v>8</v>
      </c>
      <c r="BO38" s="42">
        <f t="shared" si="14"/>
        <v>10</v>
      </c>
      <c r="BP38" s="41">
        <v>2</v>
      </c>
      <c r="BQ38" s="26">
        <v>8</v>
      </c>
      <c r="BR38" s="42">
        <f t="shared" si="15"/>
        <v>10</v>
      </c>
      <c r="BS38" s="26">
        <f t="shared" si="16"/>
        <v>0</v>
      </c>
      <c r="BU38" s="46">
        <v>1</v>
      </c>
      <c r="BV38" s="46">
        <v>1</v>
      </c>
      <c r="BW38" s="46">
        <v>2</v>
      </c>
      <c r="BX38" s="46">
        <v>0</v>
      </c>
      <c r="BY38" s="46">
        <v>15</v>
      </c>
      <c r="BZ38" s="46">
        <v>1</v>
      </c>
      <c r="CA38" s="46">
        <v>0</v>
      </c>
      <c r="CB38" s="46">
        <v>0</v>
      </c>
      <c r="CC38" s="46">
        <v>1</v>
      </c>
      <c r="CD38" s="46">
        <v>1</v>
      </c>
      <c r="CE38" s="46">
        <v>0</v>
      </c>
      <c r="CF38" s="46">
        <v>0</v>
      </c>
      <c r="CG38" s="46">
        <v>1</v>
      </c>
      <c r="CH38" s="46">
        <v>2</v>
      </c>
      <c r="CI38" s="46">
        <v>2</v>
      </c>
      <c r="CJ38" s="46">
        <v>317.2584</v>
      </c>
    </row>
    <row r="39" ht="14.5" spans="1:88">
      <c r="A39" t="s">
        <v>128</v>
      </c>
      <c r="B39">
        <v>16</v>
      </c>
      <c r="C39" t="s">
        <v>91</v>
      </c>
      <c r="D39" t="s">
        <v>84</v>
      </c>
      <c r="E39" t="s">
        <v>85</v>
      </c>
      <c r="F39" t="s">
        <v>87</v>
      </c>
      <c r="G39" t="s">
        <v>87</v>
      </c>
      <c r="H39" t="s">
        <v>86</v>
      </c>
      <c r="J39" s="7">
        <v>3</v>
      </c>
      <c r="K39">
        <v>3</v>
      </c>
      <c r="L39" s="27">
        <f t="shared" si="0"/>
        <v>3</v>
      </c>
      <c r="M39">
        <v>6</v>
      </c>
      <c r="N39">
        <v>6</v>
      </c>
      <c r="O39">
        <v>6</v>
      </c>
      <c r="P39" s="27">
        <f t="shared" si="1"/>
        <v>6</v>
      </c>
      <c r="Q39">
        <v>3</v>
      </c>
      <c r="R39">
        <v>3</v>
      </c>
      <c r="S39">
        <v>3</v>
      </c>
      <c r="T39" s="27">
        <f t="shared" si="2"/>
        <v>3</v>
      </c>
      <c r="U39" s="8">
        <f t="shared" si="3"/>
        <v>4.125</v>
      </c>
      <c r="W39" s="28">
        <v>7</v>
      </c>
      <c r="X39">
        <v>7</v>
      </c>
      <c r="Y39" s="16">
        <v>2</v>
      </c>
      <c r="Z39">
        <v>4</v>
      </c>
      <c r="AA39">
        <v>6</v>
      </c>
      <c r="AB39">
        <v>6</v>
      </c>
      <c r="AC39" s="27">
        <f t="shared" si="4"/>
        <v>5.6</v>
      </c>
      <c r="AD39">
        <v>3</v>
      </c>
      <c r="AE39">
        <v>5</v>
      </c>
      <c r="AF39" s="16">
        <v>3</v>
      </c>
      <c r="AG39">
        <v>2</v>
      </c>
      <c r="AH39" s="27">
        <f t="shared" si="5"/>
        <v>3.5</v>
      </c>
      <c r="AI39">
        <v>5</v>
      </c>
      <c r="AJ39">
        <v>3</v>
      </c>
      <c r="AK39">
        <v>3</v>
      </c>
      <c r="AL39">
        <v>1</v>
      </c>
      <c r="AM39" s="27">
        <f t="shared" si="6"/>
        <v>2.25</v>
      </c>
      <c r="AN39" s="8">
        <f t="shared" si="7"/>
        <v>4.14285714285714</v>
      </c>
      <c r="AP39" s="7">
        <v>3</v>
      </c>
      <c r="AQ39">
        <v>3</v>
      </c>
      <c r="AR39">
        <v>5</v>
      </c>
      <c r="AS39">
        <v>4</v>
      </c>
      <c r="AT39" s="27">
        <f t="shared" si="8"/>
        <v>3.75</v>
      </c>
      <c r="AU39">
        <v>5</v>
      </c>
      <c r="AV39">
        <v>5</v>
      </c>
      <c r="AW39">
        <v>5</v>
      </c>
      <c r="AX39">
        <v>5</v>
      </c>
      <c r="AY39" s="27">
        <f t="shared" si="9"/>
        <v>5</v>
      </c>
      <c r="AZ39" s="8">
        <f t="shared" si="10"/>
        <v>4.375</v>
      </c>
      <c r="BB39" s="7">
        <v>5</v>
      </c>
      <c r="BC39">
        <v>4</v>
      </c>
      <c r="BD39">
        <v>3</v>
      </c>
      <c r="BE39">
        <v>5</v>
      </c>
      <c r="BF39" s="27">
        <f t="shared" si="11"/>
        <v>4.5</v>
      </c>
      <c r="BG39">
        <v>5</v>
      </c>
      <c r="BH39">
        <v>5</v>
      </c>
      <c r="BI39">
        <v>3</v>
      </c>
      <c r="BJ39" s="27">
        <f t="shared" si="12"/>
        <v>4.66666666666667</v>
      </c>
      <c r="BK39" s="8">
        <f t="shared" si="13"/>
        <v>4.57142857142857</v>
      </c>
      <c r="BM39" s="7">
        <v>2</v>
      </c>
      <c r="BN39">
        <v>8</v>
      </c>
      <c r="BO39" s="8">
        <f t="shared" si="14"/>
        <v>10</v>
      </c>
      <c r="BP39" s="7">
        <v>1.5</v>
      </c>
      <c r="BQ39">
        <v>7.5</v>
      </c>
      <c r="BR39" s="8">
        <f t="shared" si="15"/>
        <v>9</v>
      </c>
      <c r="BS39">
        <f t="shared" si="16"/>
        <v>-1</v>
      </c>
      <c r="BU39" s="2">
        <v>1</v>
      </c>
      <c r="BV39" s="2">
        <v>2</v>
      </c>
      <c r="BW39" s="2">
        <v>3</v>
      </c>
      <c r="BX39" s="2">
        <v>0</v>
      </c>
      <c r="BY39" s="2">
        <v>15</v>
      </c>
      <c r="BZ39" s="2">
        <v>1</v>
      </c>
      <c r="CA39" s="2">
        <v>0</v>
      </c>
      <c r="CB39" s="2">
        <v>0</v>
      </c>
      <c r="CC39" s="2">
        <v>1</v>
      </c>
      <c r="CD39" s="2">
        <v>1</v>
      </c>
      <c r="CE39" s="2">
        <v>0</v>
      </c>
      <c r="CF39" s="2">
        <v>0</v>
      </c>
      <c r="CG39" s="2">
        <v>1</v>
      </c>
      <c r="CH39" s="2">
        <v>2</v>
      </c>
      <c r="CI39" s="2">
        <v>6</v>
      </c>
      <c r="CJ39" s="2">
        <v>210.7424</v>
      </c>
    </row>
    <row r="40" ht="14.5" spans="1:88">
      <c r="A40" t="s">
        <v>129</v>
      </c>
      <c r="B40">
        <v>16</v>
      </c>
      <c r="C40" t="s">
        <v>91</v>
      </c>
      <c r="D40" t="s">
        <v>84</v>
      </c>
      <c r="E40" t="s">
        <v>85</v>
      </c>
      <c r="F40" t="s">
        <v>86</v>
      </c>
      <c r="G40" t="s">
        <v>87</v>
      </c>
      <c r="H40" t="s">
        <v>86</v>
      </c>
      <c r="J40" s="7">
        <v>3</v>
      </c>
      <c r="K40">
        <v>2</v>
      </c>
      <c r="L40" s="27">
        <f t="shared" si="0"/>
        <v>2.5</v>
      </c>
      <c r="M40">
        <v>5</v>
      </c>
      <c r="N40">
        <v>5</v>
      </c>
      <c r="O40">
        <v>6</v>
      </c>
      <c r="P40" s="27">
        <f t="shared" si="1"/>
        <v>5.33333333333333</v>
      </c>
      <c r="Q40">
        <v>3</v>
      </c>
      <c r="R40">
        <v>3</v>
      </c>
      <c r="S40">
        <v>3</v>
      </c>
      <c r="T40" s="27">
        <f t="shared" si="2"/>
        <v>3</v>
      </c>
      <c r="U40" s="8">
        <f t="shared" si="3"/>
        <v>3.75</v>
      </c>
      <c r="W40" s="28">
        <v>7</v>
      </c>
      <c r="X40">
        <v>7</v>
      </c>
      <c r="Y40">
        <v>3</v>
      </c>
      <c r="Z40">
        <v>2</v>
      </c>
      <c r="AA40">
        <v>6</v>
      </c>
      <c r="AB40">
        <v>6</v>
      </c>
      <c r="AC40" s="27">
        <f t="shared" si="4"/>
        <v>5</v>
      </c>
      <c r="AD40">
        <v>5</v>
      </c>
      <c r="AE40">
        <v>5</v>
      </c>
      <c r="AF40">
        <v>3</v>
      </c>
      <c r="AG40">
        <v>5</v>
      </c>
      <c r="AH40" s="27">
        <f t="shared" si="5"/>
        <v>4.75</v>
      </c>
      <c r="AI40">
        <v>2</v>
      </c>
      <c r="AJ40">
        <v>5</v>
      </c>
      <c r="AK40">
        <v>5</v>
      </c>
      <c r="AL40">
        <v>4</v>
      </c>
      <c r="AM40" s="27">
        <f t="shared" si="6"/>
        <v>4.75</v>
      </c>
      <c r="AN40" s="8">
        <f t="shared" si="7"/>
        <v>5</v>
      </c>
      <c r="AP40" s="7">
        <v>5</v>
      </c>
      <c r="AQ40">
        <v>5</v>
      </c>
      <c r="AR40">
        <v>5</v>
      </c>
      <c r="AS40" s="33">
        <v>6</v>
      </c>
      <c r="AT40" s="27">
        <f t="shared" si="8"/>
        <v>5.25</v>
      </c>
      <c r="AU40">
        <v>5</v>
      </c>
      <c r="AV40">
        <v>5</v>
      </c>
      <c r="AW40">
        <v>6</v>
      </c>
      <c r="AX40">
        <v>6</v>
      </c>
      <c r="AY40" s="27">
        <f t="shared" si="9"/>
        <v>5.5</v>
      </c>
      <c r="AZ40" s="8">
        <f t="shared" si="10"/>
        <v>5.375</v>
      </c>
      <c r="BB40" s="7">
        <v>4</v>
      </c>
      <c r="BC40" s="16">
        <v>6</v>
      </c>
      <c r="BD40">
        <v>2</v>
      </c>
      <c r="BE40">
        <v>5</v>
      </c>
      <c r="BF40" s="27">
        <f t="shared" si="11"/>
        <v>5</v>
      </c>
      <c r="BG40">
        <v>3</v>
      </c>
      <c r="BH40">
        <v>2</v>
      </c>
      <c r="BI40">
        <v>4</v>
      </c>
      <c r="BJ40" s="27">
        <f t="shared" si="12"/>
        <v>2.66666666666667</v>
      </c>
      <c r="BK40" s="8">
        <f t="shared" si="13"/>
        <v>4</v>
      </c>
      <c r="BM40" s="7">
        <v>2</v>
      </c>
      <c r="BN40">
        <v>8</v>
      </c>
      <c r="BO40" s="8">
        <f t="shared" si="14"/>
        <v>10</v>
      </c>
      <c r="BP40" s="7">
        <v>1.5</v>
      </c>
      <c r="BQ40">
        <v>8</v>
      </c>
      <c r="BR40" s="8">
        <f t="shared" si="15"/>
        <v>9.5</v>
      </c>
      <c r="BS40">
        <f t="shared" si="16"/>
        <v>-0.5</v>
      </c>
      <c r="BU40" s="2">
        <v>1</v>
      </c>
      <c r="BV40" s="2">
        <v>1</v>
      </c>
      <c r="BW40" s="2">
        <v>1</v>
      </c>
      <c r="BX40" s="2">
        <v>0</v>
      </c>
      <c r="BY40" s="2">
        <v>15</v>
      </c>
      <c r="BZ40" s="2">
        <v>1</v>
      </c>
      <c r="CA40" s="2">
        <v>1</v>
      </c>
      <c r="CB40" s="2">
        <v>1</v>
      </c>
      <c r="CC40" s="2">
        <v>1</v>
      </c>
      <c r="CD40" s="2">
        <v>1</v>
      </c>
      <c r="CE40" s="2">
        <v>1</v>
      </c>
      <c r="CF40" s="2">
        <v>5</v>
      </c>
      <c r="CG40" s="2">
        <v>3</v>
      </c>
      <c r="CH40" s="2">
        <v>2</v>
      </c>
      <c r="CI40" s="2">
        <v>5</v>
      </c>
      <c r="CJ40" s="2">
        <v>287.2729</v>
      </c>
    </row>
    <row r="41" s="26" customFormat="1" ht="14.5" spans="1:88">
      <c r="A41" s="26" t="s">
        <v>130</v>
      </c>
      <c r="B41" s="26">
        <v>16</v>
      </c>
      <c r="C41" s="26" t="s">
        <v>91</v>
      </c>
      <c r="D41" s="26" t="s">
        <v>89</v>
      </c>
      <c r="E41" s="26" t="s">
        <v>85</v>
      </c>
      <c r="F41" s="26" t="s">
        <v>86</v>
      </c>
      <c r="G41" s="26" t="s">
        <v>86</v>
      </c>
      <c r="H41" s="26" t="s">
        <v>86</v>
      </c>
      <c r="J41" s="41">
        <v>2</v>
      </c>
      <c r="K41" s="26">
        <v>2</v>
      </c>
      <c r="L41" s="27">
        <f t="shared" si="0"/>
        <v>2</v>
      </c>
      <c r="M41" s="26">
        <v>6</v>
      </c>
      <c r="N41" s="26">
        <v>6</v>
      </c>
      <c r="O41" s="26">
        <v>6</v>
      </c>
      <c r="P41" s="27">
        <f t="shared" si="1"/>
        <v>6</v>
      </c>
      <c r="Q41" s="26">
        <v>2</v>
      </c>
      <c r="R41" s="26">
        <v>2</v>
      </c>
      <c r="S41" s="26">
        <v>2</v>
      </c>
      <c r="T41" s="27">
        <f t="shared" si="2"/>
        <v>2</v>
      </c>
      <c r="U41" s="42">
        <f t="shared" si="3"/>
        <v>3.5</v>
      </c>
      <c r="W41" s="28">
        <v>5</v>
      </c>
      <c r="X41" s="26">
        <v>3</v>
      </c>
      <c r="Y41" s="26">
        <v>2</v>
      </c>
      <c r="Z41" s="26">
        <v>5</v>
      </c>
      <c r="AA41" s="26">
        <v>2</v>
      </c>
      <c r="AB41" s="26">
        <v>2</v>
      </c>
      <c r="AC41" s="27">
        <f t="shared" si="4"/>
        <v>3.4</v>
      </c>
      <c r="AD41" s="26">
        <v>2</v>
      </c>
      <c r="AE41" s="26">
        <v>2</v>
      </c>
      <c r="AF41" s="26">
        <v>3</v>
      </c>
      <c r="AG41" s="26">
        <v>1</v>
      </c>
      <c r="AH41" s="27">
        <f t="shared" si="5"/>
        <v>2.25</v>
      </c>
      <c r="AI41" s="26">
        <v>2</v>
      </c>
      <c r="AJ41" s="26">
        <v>4</v>
      </c>
      <c r="AK41" s="26">
        <v>1</v>
      </c>
      <c r="AL41" s="26">
        <v>1</v>
      </c>
      <c r="AM41" s="27">
        <f t="shared" si="6"/>
        <v>2.75</v>
      </c>
      <c r="AN41" s="42">
        <f t="shared" si="7"/>
        <v>3</v>
      </c>
      <c r="AP41" s="43">
        <v>2</v>
      </c>
      <c r="AQ41" s="26">
        <v>3</v>
      </c>
      <c r="AR41" s="26">
        <v>6</v>
      </c>
      <c r="AS41" s="26">
        <v>2</v>
      </c>
      <c r="AT41" s="27">
        <f t="shared" si="8"/>
        <v>3.25</v>
      </c>
      <c r="AU41" s="26">
        <v>4</v>
      </c>
      <c r="AV41" s="26">
        <v>4</v>
      </c>
      <c r="AW41" s="26">
        <v>4</v>
      </c>
      <c r="AX41" s="26">
        <v>6</v>
      </c>
      <c r="AY41" s="27">
        <f t="shared" si="9"/>
        <v>4.5</v>
      </c>
      <c r="AZ41" s="42">
        <f t="shared" si="10"/>
        <v>3.875</v>
      </c>
      <c r="BB41" s="41">
        <v>7</v>
      </c>
      <c r="BC41" s="26">
        <v>7</v>
      </c>
      <c r="BD41" s="26">
        <v>1</v>
      </c>
      <c r="BE41" s="26">
        <v>7</v>
      </c>
      <c r="BF41" s="27">
        <f t="shared" si="11"/>
        <v>6.75</v>
      </c>
      <c r="BG41" s="26">
        <v>1</v>
      </c>
      <c r="BH41" s="26">
        <v>1</v>
      </c>
      <c r="BI41" s="26">
        <v>3</v>
      </c>
      <c r="BJ41" s="27">
        <f t="shared" si="12"/>
        <v>2</v>
      </c>
      <c r="BK41" s="42">
        <f t="shared" si="13"/>
        <v>4.71428571428571</v>
      </c>
      <c r="BM41" s="41">
        <v>2</v>
      </c>
      <c r="BN41" s="26">
        <v>5.5</v>
      </c>
      <c r="BO41" s="42">
        <f t="shared" si="14"/>
        <v>7.5</v>
      </c>
      <c r="BP41" s="41">
        <v>0.5</v>
      </c>
      <c r="BQ41" s="26">
        <v>5.5</v>
      </c>
      <c r="BR41" s="42">
        <f t="shared" si="15"/>
        <v>6</v>
      </c>
      <c r="BS41" s="26">
        <f t="shared" si="16"/>
        <v>-1.5</v>
      </c>
      <c r="BU41" s="46">
        <v>1</v>
      </c>
      <c r="BV41" s="46">
        <v>1</v>
      </c>
      <c r="BW41" s="46">
        <v>1</v>
      </c>
      <c r="BX41" s="46">
        <v>1</v>
      </c>
      <c r="BY41" s="46">
        <v>16</v>
      </c>
      <c r="BZ41" s="46">
        <v>1</v>
      </c>
      <c r="CA41" s="46">
        <v>1</v>
      </c>
      <c r="CB41" s="46">
        <v>1</v>
      </c>
      <c r="CC41" s="46">
        <v>1</v>
      </c>
      <c r="CD41" s="46">
        <v>2</v>
      </c>
      <c r="CE41" s="46">
        <v>1</v>
      </c>
      <c r="CF41" s="46">
        <v>1</v>
      </c>
      <c r="CG41" s="46">
        <v>2</v>
      </c>
      <c r="CH41" s="46">
        <v>3</v>
      </c>
      <c r="CI41" s="46">
        <v>7</v>
      </c>
      <c r="CJ41" s="46">
        <v>381.3357</v>
      </c>
    </row>
    <row r="42" s="26" customFormat="1" ht="14.5" spans="1:88">
      <c r="A42" s="26" t="s">
        <v>131</v>
      </c>
      <c r="B42" s="26">
        <v>16</v>
      </c>
      <c r="C42" s="26" t="s">
        <v>91</v>
      </c>
      <c r="D42" s="26" t="s">
        <v>89</v>
      </c>
      <c r="E42" s="26" t="s">
        <v>85</v>
      </c>
      <c r="F42" s="26" t="s">
        <v>87</v>
      </c>
      <c r="G42" s="26" t="s">
        <v>87</v>
      </c>
      <c r="H42" s="26" t="s">
        <v>86</v>
      </c>
      <c r="J42" s="41">
        <v>5</v>
      </c>
      <c r="K42" s="26">
        <v>4</v>
      </c>
      <c r="L42" s="27">
        <f t="shared" si="0"/>
        <v>4.5</v>
      </c>
      <c r="M42" s="26">
        <v>6</v>
      </c>
      <c r="N42" s="26">
        <v>6</v>
      </c>
      <c r="O42" s="26">
        <v>6</v>
      </c>
      <c r="P42" s="27">
        <f t="shared" si="1"/>
        <v>6</v>
      </c>
      <c r="Q42" s="26">
        <v>4</v>
      </c>
      <c r="R42" s="26">
        <v>2</v>
      </c>
      <c r="S42" s="26">
        <v>2</v>
      </c>
      <c r="T42" s="27">
        <f t="shared" si="2"/>
        <v>2.66666666666667</v>
      </c>
      <c r="U42" s="42">
        <f t="shared" si="3"/>
        <v>4.375</v>
      </c>
      <c r="W42" s="28">
        <v>7</v>
      </c>
      <c r="X42" s="26">
        <v>7</v>
      </c>
      <c r="Y42" s="26">
        <v>3</v>
      </c>
      <c r="Z42" s="26">
        <v>4</v>
      </c>
      <c r="AA42" s="26">
        <v>5</v>
      </c>
      <c r="AB42" s="26">
        <v>5</v>
      </c>
      <c r="AC42" s="27">
        <f t="shared" si="4"/>
        <v>5</v>
      </c>
      <c r="AD42" s="26">
        <v>3</v>
      </c>
      <c r="AE42" s="26">
        <v>3</v>
      </c>
      <c r="AF42" s="26">
        <v>2</v>
      </c>
      <c r="AG42" s="26">
        <v>5</v>
      </c>
      <c r="AH42" s="27">
        <f t="shared" si="5"/>
        <v>4</v>
      </c>
      <c r="AI42" s="26">
        <v>5</v>
      </c>
      <c r="AJ42" s="26">
        <v>3</v>
      </c>
      <c r="AK42" s="26">
        <v>4</v>
      </c>
      <c r="AL42" s="26">
        <v>1</v>
      </c>
      <c r="AM42" s="27">
        <f t="shared" si="6"/>
        <v>2.5</v>
      </c>
      <c r="AN42" s="42">
        <f t="shared" si="7"/>
        <v>4.14285714285714</v>
      </c>
      <c r="AP42" s="41">
        <v>2</v>
      </c>
      <c r="AQ42" s="26">
        <v>1</v>
      </c>
      <c r="AR42" s="26">
        <v>2</v>
      </c>
      <c r="AS42" s="47">
        <v>1</v>
      </c>
      <c r="AT42" s="27">
        <f t="shared" si="8"/>
        <v>1.5</v>
      </c>
      <c r="AU42" s="26">
        <v>4</v>
      </c>
      <c r="AV42" s="26">
        <v>5</v>
      </c>
      <c r="AW42" s="26">
        <v>5</v>
      </c>
      <c r="AX42" s="26">
        <v>5</v>
      </c>
      <c r="AY42" s="27">
        <f t="shared" si="9"/>
        <v>4.75</v>
      </c>
      <c r="AZ42" s="42">
        <f t="shared" si="10"/>
        <v>3.125</v>
      </c>
      <c r="BB42" s="41">
        <v>5</v>
      </c>
      <c r="BC42" s="26">
        <v>5</v>
      </c>
      <c r="BD42" s="26">
        <v>2</v>
      </c>
      <c r="BE42" s="26">
        <v>5</v>
      </c>
      <c r="BF42" s="27">
        <f t="shared" si="11"/>
        <v>5</v>
      </c>
      <c r="BG42" s="26">
        <v>4</v>
      </c>
      <c r="BH42" s="26">
        <v>3</v>
      </c>
      <c r="BI42" s="26">
        <v>6</v>
      </c>
      <c r="BJ42" s="27">
        <f t="shared" si="12"/>
        <v>2.66666666666667</v>
      </c>
      <c r="BK42" s="42">
        <f t="shared" si="13"/>
        <v>4</v>
      </c>
      <c r="BM42" s="41">
        <v>2</v>
      </c>
      <c r="BN42" s="26">
        <v>7</v>
      </c>
      <c r="BO42" s="42">
        <f t="shared" si="14"/>
        <v>9</v>
      </c>
      <c r="BP42" s="41">
        <v>1</v>
      </c>
      <c r="BQ42" s="26">
        <v>5.5</v>
      </c>
      <c r="BR42" s="42">
        <f t="shared" si="15"/>
        <v>6.5</v>
      </c>
      <c r="BS42" s="26">
        <f t="shared" si="16"/>
        <v>-2.5</v>
      </c>
      <c r="BU42" s="46">
        <v>1</v>
      </c>
      <c r="BV42" s="46">
        <v>1</v>
      </c>
      <c r="BW42" s="46">
        <v>1</v>
      </c>
      <c r="BX42" s="46">
        <v>0</v>
      </c>
      <c r="BY42" s="46">
        <v>15</v>
      </c>
      <c r="BZ42" s="46">
        <v>1</v>
      </c>
      <c r="CA42" s="46">
        <v>0</v>
      </c>
      <c r="CB42" s="46">
        <v>1</v>
      </c>
      <c r="CC42" s="46">
        <v>2</v>
      </c>
      <c r="CD42" s="46">
        <v>1</v>
      </c>
      <c r="CE42" s="46">
        <v>0</v>
      </c>
      <c r="CF42" s="46">
        <v>1</v>
      </c>
      <c r="CG42" s="46">
        <v>1</v>
      </c>
      <c r="CH42" s="46">
        <v>2</v>
      </c>
      <c r="CI42" s="46">
        <v>6</v>
      </c>
      <c r="CJ42" s="46">
        <v>271.8052</v>
      </c>
    </row>
    <row r="43" s="26" customFormat="1" ht="14.5" spans="1:88">
      <c r="A43" s="26" t="s">
        <v>132</v>
      </c>
      <c r="B43" s="26">
        <v>16</v>
      </c>
      <c r="C43" s="26" t="s">
        <v>91</v>
      </c>
      <c r="D43" s="26" t="s">
        <v>89</v>
      </c>
      <c r="E43" s="26" t="s">
        <v>108</v>
      </c>
      <c r="F43" s="26" t="s">
        <v>86</v>
      </c>
      <c r="G43" s="26" t="s">
        <v>87</v>
      </c>
      <c r="H43" s="26" t="s">
        <v>86</v>
      </c>
      <c r="J43" s="41">
        <v>2</v>
      </c>
      <c r="K43" s="26">
        <v>2</v>
      </c>
      <c r="L43" s="27">
        <f t="shared" si="0"/>
        <v>2</v>
      </c>
      <c r="M43" s="26">
        <v>4</v>
      </c>
      <c r="N43" s="26">
        <v>5</v>
      </c>
      <c r="O43" s="26">
        <v>5</v>
      </c>
      <c r="P43" s="27">
        <f t="shared" si="1"/>
        <v>4.66666666666667</v>
      </c>
      <c r="Q43" s="26">
        <v>1</v>
      </c>
      <c r="R43" s="26">
        <v>1</v>
      </c>
      <c r="S43" s="26">
        <v>1</v>
      </c>
      <c r="T43" s="27">
        <f t="shared" si="2"/>
        <v>1</v>
      </c>
      <c r="U43" s="42">
        <f t="shared" si="3"/>
        <v>2.625</v>
      </c>
      <c r="W43" s="28">
        <v>7</v>
      </c>
      <c r="X43" s="26">
        <v>7</v>
      </c>
      <c r="Y43" s="26">
        <v>4</v>
      </c>
      <c r="Z43" s="26">
        <v>1</v>
      </c>
      <c r="AA43" s="26">
        <v>7</v>
      </c>
      <c r="AB43" s="26">
        <v>7</v>
      </c>
      <c r="AC43" s="27">
        <f t="shared" si="4"/>
        <v>5</v>
      </c>
      <c r="AD43" s="26">
        <v>4</v>
      </c>
      <c r="AE43" s="26">
        <v>2</v>
      </c>
      <c r="AF43" s="26">
        <v>2</v>
      </c>
      <c r="AG43" s="26">
        <v>5</v>
      </c>
      <c r="AH43" s="27">
        <f t="shared" si="5"/>
        <v>4</v>
      </c>
      <c r="AI43" s="26">
        <v>2</v>
      </c>
      <c r="AJ43" s="26">
        <v>6</v>
      </c>
      <c r="AK43" s="26">
        <v>6</v>
      </c>
      <c r="AL43" s="26">
        <v>1</v>
      </c>
      <c r="AM43" s="27">
        <f t="shared" si="6"/>
        <v>4.5</v>
      </c>
      <c r="AN43" s="42">
        <f t="shared" si="7"/>
        <v>4.71428571428571</v>
      </c>
      <c r="AP43" s="41">
        <v>6</v>
      </c>
      <c r="AQ43" s="26">
        <v>6</v>
      </c>
      <c r="AR43" s="26">
        <v>4</v>
      </c>
      <c r="AS43" s="26">
        <v>6</v>
      </c>
      <c r="AT43" s="27">
        <f t="shared" si="8"/>
        <v>5.5</v>
      </c>
      <c r="AU43" s="26">
        <v>6</v>
      </c>
      <c r="AV43" s="26">
        <v>6</v>
      </c>
      <c r="AW43" s="26">
        <v>4</v>
      </c>
      <c r="AX43" s="26">
        <v>6</v>
      </c>
      <c r="AY43" s="27">
        <f t="shared" si="9"/>
        <v>5.5</v>
      </c>
      <c r="AZ43" s="42">
        <f t="shared" si="10"/>
        <v>5.5</v>
      </c>
      <c r="BB43" s="41">
        <v>5</v>
      </c>
      <c r="BC43" s="26">
        <v>6</v>
      </c>
      <c r="BD43" s="26">
        <v>5</v>
      </c>
      <c r="BE43" s="26">
        <v>5</v>
      </c>
      <c r="BF43" s="27">
        <f t="shared" si="11"/>
        <v>4.5</v>
      </c>
      <c r="BG43" s="26">
        <v>5</v>
      </c>
      <c r="BH43" s="26">
        <v>3</v>
      </c>
      <c r="BI43" s="26">
        <v>3</v>
      </c>
      <c r="BJ43" s="27">
        <f t="shared" si="12"/>
        <v>4</v>
      </c>
      <c r="BK43" s="42">
        <f t="shared" si="13"/>
        <v>4.28571428571429</v>
      </c>
      <c r="BM43" s="41">
        <v>1</v>
      </c>
      <c r="BN43" s="26">
        <v>7</v>
      </c>
      <c r="BO43" s="42">
        <f t="shared" si="14"/>
        <v>8</v>
      </c>
      <c r="BP43" s="41">
        <v>0</v>
      </c>
      <c r="BQ43" s="26">
        <v>4</v>
      </c>
      <c r="BR43" s="42">
        <f t="shared" si="15"/>
        <v>4</v>
      </c>
      <c r="BS43" s="26">
        <f t="shared" si="16"/>
        <v>-4</v>
      </c>
      <c r="BU43" s="46">
        <v>1</v>
      </c>
      <c r="BV43" s="46">
        <v>1</v>
      </c>
      <c r="BW43" s="46">
        <v>1</v>
      </c>
      <c r="BX43" s="46">
        <v>3</v>
      </c>
      <c r="BY43" s="46">
        <v>18</v>
      </c>
      <c r="BZ43" s="46">
        <v>1</v>
      </c>
      <c r="CA43" s="46">
        <v>0</v>
      </c>
      <c r="CB43" s="46">
        <v>1</v>
      </c>
      <c r="CC43" s="46">
        <v>1</v>
      </c>
      <c r="CD43" s="46">
        <v>3</v>
      </c>
      <c r="CE43" s="46">
        <v>0</v>
      </c>
      <c r="CF43" s="46">
        <v>1</v>
      </c>
      <c r="CG43" s="46">
        <v>2</v>
      </c>
      <c r="CH43" s="46">
        <v>4</v>
      </c>
      <c r="CI43" s="46">
        <v>9</v>
      </c>
      <c r="CJ43" s="46">
        <v>244.5859</v>
      </c>
    </row>
    <row r="44" ht="14.5" spans="1:88">
      <c r="A44" t="s">
        <v>133</v>
      </c>
      <c r="B44">
        <v>16</v>
      </c>
      <c r="C44" t="s">
        <v>83</v>
      </c>
      <c r="D44" t="s">
        <v>84</v>
      </c>
      <c r="E44" t="s">
        <v>85</v>
      </c>
      <c r="F44" t="s">
        <v>87</v>
      </c>
      <c r="G44" t="s">
        <v>87</v>
      </c>
      <c r="H44" t="s">
        <v>87</v>
      </c>
      <c r="J44" s="7">
        <v>2</v>
      </c>
      <c r="K44">
        <v>2</v>
      </c>
      <c r="L44" s="27">
        <f t="shared" si="0"/>
        <v>2</v>
      </c>
      <c r="M44">
        <v>6</v>
      </c>
      <c r="N44">
        <v>6</v>
      </c>
      <c r="O44">
        <v>6</v>
      </c>
      <c r="P44" s="27">
        <f t="shared" si="1"/>
        <v>6</v>
      </c>
      <c r="Q44">
        <v>2</v>
      </c>
      <c r="R44">
        <v>2</v>
      </c>
      <c r="S44">
        <v>2</v>
      </c>
      <c r="T44" s="27">
        <f t="shared" si="2"/>
        <v>2</v>
      </c>
      <c r="U44" s="8">
        <f t="shared" si="3"/>
        <v>3.5</v>
      </c>
      <c r="W44" s="28">
        <v>5</v>
      </c>
      <c r="X44">
        <v>4</v>
      </c>
      <c r="Y44">
        <v>3</v>
      </c>
      <c r="Z44">
        <v>3</v>
      </c>
      <c r="AA44">
        <v>5</v>
      </c>
      <c r="AB44">
        <v>5</v>
      </c>
      <c r="AC44" s="27">
        <f t="shared" si="4"/>
        <v>4.2</v>
      </c>
      <c r="AD44">
        <v>7</v>
      </c>
      <c r="AE44">
        <v>1</v>
      </c>
      <c r="AF44">
        <v>4</v>
      </c>
      <c r="AG44">
        <v>4</v>
      </c>
      <c r="AH44" s="27">
        <f t="shared" si="5"/>
        <v>3.75</v>
      </c>
      <c r="AI44">
        <v>3</v>
      </c>
      <c r="AJ44">
        <v>5</v>
      </c>
      <c r="AK44">
        <v>4</v>
      </c>
      <c r="AL44">
        <v>2</v>
      </c>
      <c r="AM44" s="27">
        <f t="shared" si="6"/>
        <v>3.75</v>
      </c>
      <c r="AN44" s="8">
        <f t="shared" si="7"/>
        <v>4</v>
      </c>
      <c r="AP44" s="15">
        <v>5</v>
      </c>
      <c r="AQ44">
        <v>4</v>
      </c>
      <c r="AR44">
        <v>5</v>
      </c>
      <c r="AS44">
        <v>5</v>
      </c>
      <c r="AT44" s="27">
        <f t="shared" si="8"/>
        <v>4.75</v>
      </c>
      <c r="AU44">
        <v>4</v>
      </c>
      <c r="AV44">
        <v>5</v>
      </c>
      <c r="AW44">
        <v>5</v>
      </c>
      <c r="AX44">
        <v>5</v>
      </c>
      <c r="AY44" s="27">
        <f t="shared" si="9"/>
        <v>4.75</v>
      </c>
      <c r="AZ44" s="8">
        <f t="shared" si="10"/>
        <v>4.75</v>
      </c>
      <c r="BB44" s="7">
        <v>5</v>
      </c>
      <c r="BC44">
        <v>5</v>
      </c>
      <c r="BD44">
        <v>2</v>
      </c>
      <c r="BE44">
        <v>7</v>
      </c>
      <c r="BF44" s="27">
        <f t="shared" si="11"/>
        <v>5.5</v>
      </c>
      <c r="BG44">
        <v>7</v>
      </c>
      <c r="BH44">
        <v>6</v>
      </c>
      <c r="BI44">
        <v>1</v>
      </c>
      <c r="BJ44" s="27">
        <f t="shared" si="12"/>
        <v>6.33333333333333</v>
      </c>
      <c r="BK44" s="8">
        <f t="shared" si="13"/>
        <v>5.85714285714286</v>
      </c>
      <c r="BM44" s="7">
        <v>2</v>
      </c>
      <c r="BN44">
        <v>7</v>
      </c>
      <c r="BO44" s="8">
        <f t="shared" si="14"/>
        <v>9</v>
      </c>
      <c r="BP44" s="7">
        <v>2</v>
      </c>
      <c r="BQ44">
        <v>7</v>
      </c>
      <c r="BR44" s="8">
        <f t="shared" si="15"/>
        <v>9</v>
      </c>
      <c r="BS44">
        <f t="shared" si="16"/>
        <v>0</v>
      </c>
      <c r="BU44" s="2">
        <v>1</v>
      </c>
      <c r="BV44" s="2">
        <v>1</v>
      </c>
      <c r="BW44" s="2">
        <v>1</v>
      </c>
      <c r="BX44" s="2">
        <v>0</v>
      </c>
      <c r="BY44" s="2">
        <v>15</v>
      </c>
      <c r="BZ44" s="2">
        <v>1</v>
      </c>
      <c r="CA44" s="2">
        <v>0</v>
      </c>
      <c r="CB44" s="2">
        <v>0</v>
      </c>
      <c r="CC44" s="2">
        <v>1</v>
      </c>
      <c r="CD44" s="2">
        <v>1</v>
      </c>
      <c r="CE44" s="2">
        <v>0</v>
      </c>
      <c r="CF44" s="2">
        <v>0</v>
      </c>
      <c r="CG44" s="2">
        <v>1</v>
      </c>
      <c r="CH44" s="2">
        <v>2</v>
      </c>
      <c r="CI44" s="2">
        <v>13</v>
      </c>
      <c r="CJ44" s="2">
        <v>316.2534</v>
      </c>
    </row>
    <row r="45" ht="14.5" spans="1:88">
      <c r="A45" t="s">
        <v>134</v>
      </c>
      <c r="B45">
        <v>16</v>
      </c>
      <c r="C45" t="s">
        <v>83</v>
      </c>
      <c r="D45" t="s">
        <v>84</v>
      </c>
      <c r="E45" t="s">
        <v>85</v>
      </c>
      <c r="F45" t="s">
        <v>87</v>
      </c>
      <c r="G45" t="s">
        <v>87</v>
      </c>
      <c r="H45" t="s">
        <v>86</v>
      </c>
      <c r="J45" s="7">
        <v>4</v>
      </c>
      <c r="K45">
        <v>3</v>
      </c>
      <c r="L45" s="27">
        <f t="shared" si="0"/>
        <v>3.5</v>
      </c>
      <c r="M45">
        <v>5</v>
      </c>
      <c r="N45">
        <v>7</v>
      </c>
      <c r="O45">
        <v>7</v>
      </c>
      <c r="P45" s="27">
        <f t="shared" si="1"/>
        <v>6.33333333333333</v>
      </c>
      <c r="Q45">
        <v>2</v>
      </c>
      <c r="R45">
        <v>2</v>
      </c>
      <c r="S45">
        <v>3</v>
      </c>
      <c r="T45" s="27">
        <f t="shared" si="2"/>
        <v>2.33333333333333</v>
      </c>
      <c r="U45" s="8">
        <f t="shared" si="3"/>
        <v>4.125</v>
      </c>
      <c r="W45" s="28">
        <v>6</v>
      </c>
      <c r="X45">
        <v>6</v>
      </c>
      <c r="Y45">
        <v>4</v>
      </c>
      <c r="Z45">
        <v>2</v>
      </c>
      <c r="AA45">
        <v>3</v>
      </c>
      <c r="AB45">
        <v>4</v>
      </c>
      <c r="AC45" s="27">
        <f t="shared" si="4"/>
        <v>3.6</v>
      </c>
      <c r="AD45">
        <v>5</v>
      </c>
      <c r="AE45">
        <v>5</v>
      </c>
      <c r="AF45">
        <v>3</v>
      </c>
      <c r="AG45">
        <v>5</v>
      </c>
      <c r="AH45" s="27">
        <f t="shared" si="5"/>
        <v>4.75</v>
      </c>
      <c r="AI45">
        <v>6</v>
      </c>
      <c r="AJ45">
        <v>6</v>
      </c>
      <c r="AK45">
        <v>4</v>
      </c>
      <c r="AL45">
        <v>2</v>
      </c>
      <c r="AM45" s="27">
        <f t="shared" si="6"/>
        <v>3.25</v>
      </c>
      <c r="AN45" s="8">
        <f t="shared" si="7"/>
        <v>4</v>
      </c>
      <c r="AP45" s="15">
        <v>5</v>
      </c>
      <c r="AQ45">
        <v>4</v>
      </c>
      <c r="AR45">
        <v>5</v>
      </c>
      <c r="AS45">
        <v>5</v>
      </c>
      <c r="AT45" s="27">
        <f t="shared" si="8"/>
        <v>4.75</v>
      </c>
      <c r="AU45">
        <v>5</v>
      </c>
      <c r="AV45">
        <v>5</v>
      </c>
      <c r="AW45">
        <v>5</v>
      </c>
      <c r="AX45">
        <v>5</v>
      </c>
      <c r="AY45" s="27">
        <f t="shared" si="9"/>
        <v>5</v>
      </c>
      <c r="AZ45" s="8">
        <f t="shared" si="10"/>
        <v>4.875</v>
      </c>
      <c r="BB45" s="7">
        <v>7</v>
      </c>
      <c r="BC45">
        <v>7</v>
      </c>
      <c r="BD45">
        <v>2</v>
      </c>
      <c r="BE45">
        <v>7</v>
      </c>
      <c r="BF45" s="27">
        <f t="shared" si="11"/>
        <v>6.5</v>
      </c>
      <c r="BG45">
        <v>7</v>
      </c>
      <c r="BH45">
        <v>4</v>
      </c>
      <c r="BI45">
        <v>1</v>
      </c>
      <c r="BJ45" s="27">
        <f t="shared" si="12"/>
        <v>5.66666666666667</v>
      </c>
      <c r="BK45" s="8">
        <f t="shared" si="13"/>
        <v>6.14285714285714</v>
      </c>
      <c r="BM45" s="7">
        <v>1.5</v>
      </c>
      <c r="BN45">
        <v>6.5</v>
      </c>
      <c r="BO45" s="8">
        <f t="shared" si="14"/>
        <v>8</v>
      </c>
      <c r="BP45" s="7">
        <v>2</v>
      </c>
      <c r="BQ45">
        <v>7</v>
      </c>
      <c r="BR45" s="8">
        <f t="shared" si="15"/>
        <v>9</v>
      </c>
      <c r="BS45">
        <f t="shared" si="16"/>
        <v>1</v>
      </c>
      <c r="BU45" s="2">
        <v>3</v>
      </c>
      <c r="BV45" s="2">
        <v>3</v>
      </c>
      <c r="BW45" s="2">
        <v>2</v>
      </c>
      <c r="BX45" s="2">
        <v>1</v>
      </c>
      <c r="BY45" s="2">
        <v>16</v>
      </c>
      <c r="BZ45" s="2">
        <v>4</v>
      </c>
      <c r="CA45" s="2">
        <v>1</v>
      </c>
      <c r="CB45" s="2">
        <v>1</v>
      </c>
      <c r="CC45" s="2">
        <v>2</v>
      </c>
      <c r="CD45" s="2">
        <v>4</v>
      </c>
      <c r="CE45" s="2">
        <v>1</v>
      </c>
      <c r="CF45" s="2">
        <v>1</v>
      </c>
      <c r="CG45" s="2">
        <v>2</v>
      </c>
      <c r="CH45" s="2">
        <v>6</v>
      </c>
      <c r="CI45" s="2">
        <v>22</v>
      </c>
      <c r="CJ45" s="2">
        <v>240.9741</v>
      </c>
    </row>
    <row r="46" s="26" customFormat="1" ht="14.5" spans="1:88">
      <c r="A46" s="52" t="s">
        <v>139</v>
      </c>
      <c r="B46" s="26">
        <v>15</v>
      </c>
      <c r="C46" s="26" t="s">
        <v>91</v>
      </c>
      <c r="D46" s="26" t="s">
        <v>89</v>
      </c>
      <c r="E46" s="26" t="s">
        <v>108</v>
      </c>
      <c r="F46" s="26" t="s">
        <v>86</v>
      </c>
      <c r="G46" s="26" t="s">
        <v>87</v>
      </c>
      <c r="H46" s="26" t="s">
        <v>86</v>
      </c>
      <c r="J46" s="41">
        <v>6</v>
      </c>
      <c r="K46" s="26">
        <v>6</v>
      </c>
      <c r="L46" s="27">
        <f t="shared" si="0"/>
        <v>6</v>
      </c>
      <c r="M46" s="26">
        <v>6</v>
      </c>
      <c r="N46" s="26">
        <v>6</v>
      </c>
      <c r="O46" s="26">
        <v>6</v>
      </c>
      <c r="P46" s="27">
        <f t="shared" si="1"/>
        <v>6</v>
      </c>
      <c r="Q46" s="26">
        <v>6</v>
      </c>
      <c r="R46" s="26">
        <v>6</v>
      </c>
      <c r="S46" s="26">
        <v>6</v>
      </c>
      <c r="T46" s="27">
        <f t="shared" si="2"/>
        <v>6</v>
      </c>
      <c r="U46" s="42">
        <f t="shared" si="3"/>
        <v>6</v>
      </c>
      <c r="W46" s="28">
        <v>7</v>
      </c>
      <c r="X46" s="45">
        <v>1</v>
      </c>
      <c r="Y46" s="26">
        <v>7</v>
      </c>
      <c r="Z46" s="26">
        <v>7</v>
      </c>
      <c r="AA46" s="26">
        <v>7</v>
      </c>
      <c r="AB46" s="26">
        <v>7</v>
      </c>
      <c r="AC46" s="27">
        <f t="shared" si="4"/>
        <v>4.4</v>
      </c>
      <c r="AD46" s="26">
        <v>7</v>
      </c>
      <c r="AE46" s="45">
        <v>1</v>
      </c>
      <c r="AF46" s="26">
        <v>7</v>
      </c>
      <c r="AG46" s="26">
        <v>3</v>
      </c>
      <c r="AH46" s="27">
        <f t="shared" si="5"/>
        <v>2.75</v>
      </c>
      <c r="AI46" s="26">
        <v>4</v>
      </c>
      <c r="AJ46" s="26">
        <v>5</v>
      </c>
      <c r="AK46" s="26">
        <v>1</v>
      </c>
      <c r="AL46" s="26">
        <v>1</v>
      </c>
      <c r="AM46" s="27">
        <f t="shared" si="6"/>
        <v>2.5</v>
      </c>
      <c r="AN46" s="42">
        <f t="shared" si="7"/>
        <v>3.57142857142857</v>
      </c>
      <c r="AP46" s="41">
        <v>3</v>
      </c>
      <c r="AQ46" s="26">
        <v>4</v>
      </c>
      <c r="AR46" s="26">
        <v>3</v>
      </c>
      <c r="AS46" s="47">
        <v>3</v>
      </c>
      <c r="AT46" s="27">
        <f t="shared" si="8"/>
        <v>3.25</v>
      </c>
      <c r="AU46" s="26">
        <v>6</v>
      </c>
      <c r="AV46" s="26">
        <v>4</v>
      </c>
      <c r="AW46" s="26">
        <v>2</v>
      </c>
      <c r="AX46" s="26">
        <v>5</v>
      </c>
      <c r="AY46" s="27">
        <f t="shared" si="9"/>
        <v>4.25</v>
      </c>
      <c r="AZ46" s="42">
        <f t="shared" si="10"/>
        <v>3.75</v>
      </c>
      <c r="BB46" s="41">
        <v>3</v>
      </c>
      <c r="BC46" s="26">
        <v>5</v>
      </c>
      <c r="BD46" s="26">
        <v>3</v>
      </c>
      <c r="BE46" s="26">
        <v>4</v>
      </c>
      <c r="BF46" s="27">
        <f t="shared" si="11"/>
        <v>4</v>
      </c>
      <c r="BG46" s="26">
        <v>6</v>
      </c>
      <c r="BH46" s="26">
        <v>1</v>
      </c>
      <c r="BI46" s="26">
        <v>7</v>
      </c>
      <c r="BJ46" s="27">
        <f t="shared" si="12"/>
        <v>2.33333333333333</v>
      </c>
      <c r="BK46" s="42">
        <f t="shared" si="13"/>
        <v>3.28571428571429</v>
      </c>
      <c r="BM46" s="41">
        <v>0.5</v>
      </c>
      <c r="BN46" s="26">
        <v>1.5</v>
      </c>
      <c r="BO46" s="42">
        <f t="shared" si="14"/>
        <v>2</v>
      </c>
      <c r="BP46" s="41">
        <v>0.5</v>
      </c>
      <c r="BQ46" s="26">
        <v>4</v>
      </c>
      <c r="BR46" s="42">
        <f t="shared" si="15"/>
        <v>4.5</v>
      </c>
      <c r="BS46" s="26">
        <f t="shared" si="16"/>
        <v>2.5</v>
      </c>
      <c r="BU46" s="46">
        <v>1</v>
      </c>
      <c r="BV46" s="46">
        <v>1</v>
      </c>
      <c r="BW46" s="46">
        <v>1</v>
      </c>
      <c r="BX46" s="46">
        <v>0</v>
      </c>
      <c r="BY46" s="46">
        <v>15</v>
      </c>
      <c r="BZ46" s="46">
        <v>1</v>
      </c>
      <c r="CA46" s="46">
        <v>0</v>
      </c>
      <c r="CB46" s="46">
        <v>1</v>
      </c>
      <c r="CC46" s="46">
        <v>2</v>
      </c>
      <c r="CD46" s="46">
        <v>0</v>
      </c>
      <c r="CE46" s="46">
        <v>0</v>
      </c>
      <c r="CF46" s="46">
        <v>1</v>
      </c>
      <c r="CG46" s="46">
        <v>1</v>
      </c>
      <c r="CH46" s="46">
        <v>2</v>
      </c>
      <c r="CI46" s="46">
        <v>8</v>
      </c>
      <c r="CJ46" s="46">
        <v>237.1131</v>
      </c>
    </row>
    <row r="47" s="26" customFormat="1" ht="14.5" spans="1:88">
      <c r="A47" s="26" t="s">
        <v>136</v>
      </c>
      <c r="B47" s="26">
        <v>14</v>
      </c>
      <c r="C47" s="26" t="s">
        <v>91</v>
      </c>
      <c r="D47" s="26" t="s">
        <v>89</v>
      </c>
      <c r="E47" s="26" t="s">
        <v>85</v>
      </c>
      <c r="F47" s="26" t="s">
        <v>86</v>
      </c>
      <c r="G47" s="26" t="s">
        <v>87</v>
      </c>
      <c r="H47" s="26" t="s">
        <v>86</v>
      </c>
      <c r="J47" s="41">
        <v>2</v>
      </c>
      <c r="K47" s="26">
        <v>2</v>
      </c>
      <c r="L47" s="27">
        <f t="shared" si="0"/>
        <v>2</v>
      </c>
      <c r="M47" s="26">
        <v>3</v>
      </c>
      <c r="N47" s="26">
        <v>2</v>
      </c>
      <c r="O47" s="26">
        <v>5</v>
      </c>
      <c r="P47" s="27">
        <f t="shared" si="1"/>
        <v>3.33333333333333</v>
      </c>
      <c r="Q47" s="26">
        <v>2</v>
      </c>
      <c r="R47" s="26">
        <v>2</v>
      </c>
      <c r="S47" s="26">
        <v>2</v>
      </c>
      <c r="T47" s="27">
        <f t="shared" si="2"/>
        <v>2</v>
      </c>
      <c r="U47" s="42">
        <f t="shared" si="3"/>
        <v>2.5</v>
      </c>
      <c r="W47" s="28">
        <v>6</v>
      </c>
      <c r="X47" s="26">
        <v>6</v>
      </c>
      <c r="Y47" s="26">
        <v>4</v>
      </c>
      <c r="Z47" s="26">
        <v>6</v>
      </c>
      <c r="AA47" s="26">
        <v>4</v>
      </c>
      <c r="AB47" s="26">
        <v>5</v>
      </c>
      <c r="AC47" s="27">
        <f t="shared" si="4"/>
        <v>4.8</v>
      </c>
      <c r="AD47" s="26">
        <v>4</v>
      </c>
      <c r="AE47" s="26">
        <v>4</v>
      </c>
      <c r="AF47" s="26">
        <v>6</v>
      </c>
      <c r="AG47" s="26">
        <v>2</v>
      </c>
      <c r="AH47" s="27">
        <f t="shared" si="5"/>
        <v>2.75</v>
      </c>
      <c r="AI47" s="26">
        <v>4</v>
      </c>
      <c r="AJ47" s="26">
        <v>6</v>
      </c>
      <c r="AK47" s="26">
        <v>5</v>
      </c>
      <c r="AL47" s="26">
        <v>4</v>
      </c>
      <c r="AM47" s="27">
        <f t="shared" si="6"/>
        <v>4.5</v>
      </c>
      <c r="AN47" s="42">
        <f t="shared" si="7"/>
        <v>4.21428571428571</v>
      </c>
      <c r="AP47" s="41">
        <v>2</v>
      </c>
      <c r="AQ47" s="26">
        <v>5</v>
      </c>
      <c r="AR47" s="26">
        <v>4</v>
      </c>
      <c r="AS47" s="26">
        <v>3</v>
      </c>
      <c r="AT47" s="27">
        <f t="shared" si="8"/>
        <v>3.5</v>
      </c>
      <c r="AU47" s="26">
        <v>2</v>
      </c>
      <c r="AV47" s="26">
        <v>4</v>
      </c>
      <c r="AW47" s="26">
        <v>4</v>
      </c>
      <c r="AX47" s="47">
        <v>3</v>
      </c>
      <c r="AY47" s="27">
        <f t="shared" si="9"/>
        <v>3.25</v>
      </c>
      <c r="AZ47" s="42">
        <f t="shared" si="10"/>
        <v>3.375</v>
      </c>
      <c r="BB47" s="41">
        <v>6</v>
      </c>
      <c r="BC47" s="26">
        <v>5</v>
      </c>
      <c r="BD47" s="26">
        <v>4</v>
      </c>
      <c r="BE47" s="26">
        <v>3</v>
      </c>
      <c r="BF47" s="27">
        <f t="shared" si="11"/>
        <v>4.25</v>
      </c>
      <c r="BG47" s="26">
        <v>4</v>
      </c>
      <c r="BH47" s="26">
        <v>6</v>
      </c>
      <c r="BI47" s="26">
        <v>2</v>
      </c>
      <c r="BJ47" s="27">
        <f t="shared" si="12"/>
        <v>5</v>
      </c>
      <c r="BK47" s="42">
        <f t="shared" si="13"/>
        <v>4.57142857142857</v>
      </c>
      <c r="BM47" s="41">
        <v>1.5</v>
      </c>
      <c r="BN47" s="26">
        <v>7</v>
      </c>
      <c r="BO47" s="42">
        <f t="shared" si="14"/>
        <v>8.5</v>
      </c>
      <c r="BP47" s="41">
        <v>2</v>
      </c>
      <c r="BQ47" s="26">
        <v>6</v>
      </c>
      <c r="BR47" s="42">
        <f t="shared" si="15"/>
        <v>8</v>
      </c>
      <c r="BS47" s="26">
        <f t="shared" si="16"/>
        <v>-0.5</v>
      </c>
      <c r="BU47" s="46">
        <v>1</v>
      </c>
      <c r="BV47" s="46">
        <v>1</v>
      </c>
      <c r="BW47" s="46">
        <v>1</v>
      </c>
      <c r="BX47" s="46">
        <v>0</v>
      </c>
      <c r="BY47" s="46">
        <v>15</v>
      </c>
      <c r="BZ47" s="46">
        <v>1</v>
      </c>
      <c r="CA47" s="46">
        <v>0</v>
      </c>
      <c r="CB47" s="46">
        <v>1</v>
      </c>
      <c r="CC47" s="46">
        <v>3</v>
      </c>
      <c r="CD47" s="46">
        <v>1</v>
      </c>
      <c r="CE47" s="46">
        <v>0</v>
      </c>
      <c r="CF47" s="46">
        <v>2</v>
      </c>
      <c r="CG47" s="46">
        <v>3</v>
      </c>
      <c r="CH47" s="46">
        <v>4</v>
      </c>
      <c r="CI47" s="46">
        <v>19</v>
      </c>
      <c r="CJ47" s="46">
        <v>357.4141</v>
      </c>
    </row>
    <row r="48" ht="14.5" spans="1:88">
      <c r="A48" t="s">
        <v>137</v>
      </c>
      <c r="B48">
        <v>14</v>
      </c>
      <c r="C48" t="s">
        <v>91</v>
      </c>
      <c r="D48" t="s">
        <v>84</v>
      </c>
      <c r="E48" t="s">
        <v>108</v>
      </c>
      <c r="F48" t="s">
        <v>86</v>
      </c>
      <c r="G48" t="s">
        <v>87</v>
      </c>
      <c r="H48" t="s">
        <v>86</v>
      </c>
      <c r="J48" s="7">
        <v>6</v>
      </c>
      <c r="K48">
        <v>5</v>
      </c>
      <c r="L48" s="27">
        <f t="shared" si="0"/>
        <v>5.5</v>
      </c>
      <c r="M48">
        <v>5</v>
      </c>
      <c r="N48">
        <v>6</v>
      </c>
      <c r="O48">
        <v>7</v>
      </c>
      <c r="P48" s="27">
        <f t="shared" si="1"/>
        <v>6</v>
      </c>
      <c r="Q48">
        <v>2</v>
      </c>
      <c r="R48">
        <v>1</v>
      </c>
      <c r="S48">
        <v>2</v>
      </c>
      <c r="T48" s="27">
        <f t="shared" si="2"/>
        <v>1.66666666666667</v>
      </c>
      <c r="U48" s="8">
        <f t="shared" si="3"/>
        <v>4.25</v>
      </c>
      <c r="W48" s="28">
        <v>7</v>
      </c>
      <c r="X48">
        <v>7</v>
      </c>
      <c r="Y48" s="16">
        <v>2</v>
      </c>
      <c r="Z48">
        <v>3</v>
      </c>
      <c r="AA48">
        <v>7</v>
      </c>
      <c r="AB48">
        <v>7</v>
      </c>
      <c r="AC48" s="27">
        <f t="shared" si="4"/>
        <v>5.8</v>
      </c>
      <c r="AD48">
        <v>5</v>
      </c>
      <c r="AE48">
        <v>3</v>
      </c>
      <c r="AF48">
        <v>6</v>
      </c>
      <c r="AG48">
        <v>5</v>
      </c>
      <c r="AH48" s="27">
        <f t="shared" si="5"/>
        <v>3.5</v>
      </c>
      <c r="AI48">
        <v>2</v>
      </c>
      <c r="AJ48">
        <v>4</v>
      </c>
      <c r="AK48">
        <v>2</v>
      </c>
      <c r="AL48">
        <v>6</v>
      </c>
      <c r="AM48" s="27">
        <f t="shared" si="6"/>
        <v>4.25</v>
      </c>
      <c r="AN48" s="8">
        <f t="shared" si="7"/>
        <v>4.78571428571429</v>
      </c>
      <c r="AP48" s="7">
        <v>6</v>
      </c>
      <c r="AQ48">
        <v>6</v>
      </c>
      <c r="AR48">
        <v>6</v>
      </c>
      <c r="AS48">
        <v>6</v>
      </c>
      <c r="AT48" s="27">
        <f t="shared" si="8"/>
        <v>6</v>
      </c>
      <c r="AU48">
        <v>7</v>
      </c>
      <c r="AV48">
        <v>6</v>
      </c>
      <c r="AW48">
        <v>5</v>
      </c>
      <c r="AX48">
        <v>6</v>
      </c>
      <c r="AY48" s="27">
        <f t="shared" si="9"/>
        <v>6</v>
      </c>
      <c r="AZ48" s="8">
        <f t="shared" si="10"/>
        <v>6</v>
      </c>
      <c r="BB48" s="7">
        <v>7</v>
      </c>
      <c r="BC48">
        <v>6</v>
      </c>
      <c r="BD48" s="16">
        <v>1</v>
      </c>
      <c r="BE48">
        <v>6</v>
      </c>
      <c r="BF48" s="27">
        <f t="shared" si="11"/>
        <v>6.25</v>
      </c>
      <c r="BG48">
        <v>7</v>
      </c>
      <c r="BH48">
        <v>5</v>
      </c>
      <c r="BI48">
        <v>3</v>
      </c>
      <c r="BJ48" s="27">
        <f t="shared" si="12"/>
        <v>5.33333333333333</v>
      </c>
      <c r="BK48" s="8">
        <f t="shared" si="13"/>
        <v>5.85714285714286</v>
      </c>
      <c r="BM48" s="7">
        <v>1</v>
      </c>
      <c r="BN48">
        <v>5</v>
      </c>
      <c r="BO48" s="8">
        <f t="shared" si="14"/>
        <v>6</v>
      </c>
      <c r="BP48" s="7">
        <v>1</v>
      </c>
      <c r="BQ48">
        <v>2</v>
      </c>
      <c r="BR48" s="8">
        <f t="shared" si="15"/>
        <v>3</v>
      </c>
      <c r="BS48">
        <f t="shared" si="16"/>
        <v>-3</v>
      </c>
      <c r="BU48" s="53">
        <v>1</v>
      </c>
      <c r="BV48" s="53">
        <v>1</v>
      </c>
      <c r="BW48" s="53">
        <v>1</v>
      </c>
      <c r="BX48" s="53">
        <v>0</v>
      </c>
      <c r="BY48" s="53">
        <v>15</v>
      </c>
      <c r="BZ48" s="53">
        <v>1</v>
      </c>
      <c r="CA48" s="53">
        <v>0</v>
      </c>
      <c r="CB48" s="53">
        <v>1</v>
      </c>
      <c r="CC48" s="53">
        <v>3</v>
      </c>
      <c r="CD48" s="53">
        <v>1</v>
      </c>
      <c r="CE48" s="53">
        <v>0</v>
      </c>
      <c r="CF48" s="53">
        <v>2</v>
      </c>
      <c r="CG48" s="53">
        <v>3</v>
      </c>
      <c r="CH48" s="53">
        <v>4</v>
      </c>
      <c r="CI48" s="53">
        <v>19</v>
      </c>
      <c r="CJ48" s="53">
        <v>357.4141</v>
      </c>
    </row>
  </sheetData>
  <autoFilter xmlns:etc="http://www.wps.cn/officeDocument/2017/etCustomData" ref="A1:H48" etc:filterBottomFollowUsedRange="0">
    <extLst/>
  </autoFilter>
  <dataValidations count="6">
    <dataValidation type="list" allowBlank="1" showInputMessage="1" showErrorMessage="1" sqref="H69 F2:H28 G29:H68">
      <formula1>"有,无"</formula1>
    </dataValidation>
    <dataValidation type="list" allowBlank="1" showInputMessage="1" showErrorMessage="1" sqref="B2:B67">
      <formula1>"14,15,16,17,18,20,21,22,23,24"</formula1>
    </dataValidation>
    <dataValidation type="list" allowBlank="1" showInputMessage="1" showErrorMessage="1" sqref="C2:C59">
      <formula1>"男,女"</formula1>
    </dataValidation>
    <dataValidation type="list" allowBlank="1" showInputMessage="1" showErrorMessage="1" sqref="D2:D67">
      <formula1>"实验组,对照组"</formula1>
    </dataValidation>
    <dataValidation type="list" allowBlank="1" showInputMessage="1" showErrorMessage="1" sqref="E2:E69">
      <formula1>"左,右"</formula1>
    </dataValidation>
    <dataValidation type="list" allowBlank="1" showInputMessage="1" showErrorMessage="1" sqref="F29:F69">
      <formula1>"无,有"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2"/>
  <sheetViews>
    <sheetView zoomScale="85" zoomScaleNormal="85" workbookViewId="0">
      <pane xSplit="1" topLeftCell="B1" activePane="topRight" state="frozen"/>
      <selection/>
      <selection pane="topRight" activeCell="H62" sqref="H62"/>
    </sheetView>
  </sheetViews>
  <sheetFormatPr defaultColWidth="8.78181818181818" defaultRowHeight="14"/>
  <cols>
    <col min="10" max="10" width="6.55454545454545" style="7" customWidth="1"/>
    <col min="11" max="17" width="6.55454545454545" customWidth="1"/>
    <col min="18" max="18" width="6.55454545454545" style="8" customWidth="1"/>
    <col min="19" max="19" width="6.55454545454545" customWidth="1"/>
    <col min="20" max="20" width="6.55454545454545" style="7" customWidth="1"/>
    <col min="21" max="28" width="6.55454545454545" customWidth="1"/>
    <col min="29" max="33" width="7.55454545454545" customWidth="1"/>
    <col min="34" max="34" width="8.78181818181818" style="8"/>
    <col min="36" max="36" width="6.55454545454545" style="7" customWidth="1"/>
    <col min="37" max="43" width="6.55454545454545" customWidth="1"/>
    <col min="44" max="44" width="6.55454545454545" style="8" customWidth="1"/>
    <col min="45" max="45" width="6.55454545454545" customWidth="1"/>
    <col min="46" max="46" width="6.55454545454545" style="7" customWidth="1"/>
    <col min="47" max="52" width="7.55454545454545" customWidth="1"/>
    <col min="53" max="53" width="12.7818181818182" style="8" customWidth="1"/>
    <col min="55" max="55" width="8.78181818181818" style="7"/>
    <col min="57" max="57" width="8.78181818181818" style="8"/>
    <col min="58" max="58" width="8.78181818181818" style="7"/>
    <col min="60" max="60" width="8.78181818181818" style="8"/>
  </cols>
  <sheetData>
    <row r="1" spans="1:6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J1" s="10" t="s">
        <v>140</v>
      </c>
      <c r="K1" s="11"/>
      <c r="L1" s="11"/>
      <c r="M1" s="11"/>
      <c r="N1" s="11"/>
      <c r="O1" s="11"/>
      <c r="P1" s="11"/>
      <c r="Q1" s="11"/>
      <c r="R1" s="12"/>
      <c r="S1" s="9"/>
      <c r="T1" s="10" t="s">
        <v>141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  <c r="AJ1" s="10" t="s">
        <v>142</v>
      </c>
      <c r="AK1" s="11"/>
      <c r="AL1" s="11"/>
      <c r="AM1" s="11"/>
      <c r="AN1" s="11"/>
      <c r="AO1" s="11"/>
      <c r="AP1" s="11"/>
      <c r="AQ1" s="11"/>
      <c r="AR1" s="12"/>
      <c r="AS1" s="11"/>
      <c r="AT1" s="10" t="s">
        <v>143</v>
      </c>
      <c r="AU1" s="11"/>
      <c r="AV1" s="11"/>
      <c r="AW1" s="11"/>
      <c r="AX1" s="11"/>
      <c r="AY1" s="11"/>
      <c r="AZ1" s="11"/>
      <c r="BA1" s="12"/>
      <c r="BC1" s="13" t="s">
        <v>144</v>
      </c>
      <c r="BD1" s="9"/>
      <c r="BE1" s="14"/>
      <c r="BF1" s="13" t="s">
        <v>145</v>
      </c>
      <c r="BG1" s="9"/>
      <c r="BH1" s="14"/>
      <c r="BI1" s="9" t="s">
        <v>65</v>
      </c>
    </row>
    <row r="2" spans="1:62">
      <c r="A2" s="9"/>
      <c r="B2" s="9"/>
      <c r="C2" s="9"/>
      <c r="D2" s="9"/>
      <c r="E2" s="9"/>
      <c r="F2" s="9"/>
      <c r="G2" s="9"/>
      <c r="H2" s="9"/>
      <c r="J2" s="15" t="s">
        <v>146</v>
      </c>
      <c r="K2" s="16" t="s">
        <v>147</v>
      </c>
      <c r="L2" t="s">
        <v>148</v>
      </c>
      <c r="M2" t="s">
        <v>149</v>
      </c>
      <c r="N2" t="s">
        <v>150</v>
      </c>
      <c r="O2" s="16" t="s">
        <v>151</v>
      </c>
      <c r="P2" s="16" t="s">
        <v>152</v>
      </c>
      <c r="Q2" s="16" t="s">
        <v>153</v>
      </c>
      <c r="R2" s="8" t="s">
        <v>154</v>
      </c>
      <c r="T2" s="7" t="s">
        <v>155</v>
      </c>
      <c r="U2" t="s">
        <v>156</v>
      </c>
      <c r="V2" s="16" t="s">
        <v>157</v>
      </c>
      <c r="W2" s="16" t="s">
        <v>158</v>
      </c>
      <c r="X2" t="s">
        <v>159</v>
      </c>
      <c r="Y2" t="s">
        <v>160</v>
      </c>
      <c r="Z2" t="s">
        <v>161</v>
      </c>
      <c r="AA2" t="s">
        <v>162</v>
      </c>
      <c r="AB2" s="16" t="s">
        <v>163</v>
      </c>
      <c r="AC2" t="s">
        <v>164</v>
      </c>
      <c r="AD2" s="16" t="s">
        <v>165</v>
      </c>
      <c r="AE2" t="s">
        <v>166</v>
      </c>
      <c r="AF2" t="s">
        <v>167</v>
      </c>
      <c r="AG2" t="s">
        <v>168</v>
      </c>
      <c r="AH2" s="8" t="s">
        <v>154</v>
      </c>
      <c r="AJ2" s="7" t="s">
        <v>169</v>
      </c>
      <c r="AK2" t="s">
        <v>170</v>
      </c>
      <c r="AL2" t="s">
        <v>171</v>
      </c>
      <c r="AM2" t="s">
        <v>172</v>
      </c>
      <c r="AN2" t="s">
        <v>173</v>
      </c>
      <c r="AO2" t="s">
        <v>174</v>
      </c>
      <c r="AP2" t="s">
        <v>175</v>
      </c>
      <c r="AQ2" t="s">
        <v>176</v>
      </c>
      <c r="AR2" s="8" t="s">
        <v>154</v>
      </c>
      <c r="AT2" s="7" t="s">
        <v>177</v>
      </c>
      <c r="AU2" t="s">
        <v>178</v>
      </c>
      <c r="AV2" s="16" t="s">
        <v>179</v>
      </c>
      <c r="AW2" t="s">
        <v>180</v>
      </c>
      <c r="AX2" t="s">
        <v>181</v>
      </c>
      <c r="AY2" t="s">
        <v>182</v>
      </c>
      <c r="AZ2" s="16" t="s">
        <v>183</v>
      </c>
      <c r="BA2" s="8" t="s">
        <v>154</v>
      </c>
      <c r="BC2" s="7" t="s">
        <v>184</v>
      </c>
      <c r="BD2" s="17" t="s">
        <v>185</v>
      </c>
      <c r="BE2" s="8" t="s">
        <v>154</v>
      </c>
      <c r="BF2" s="18" t="s">
        <v>184</v>
      </c>
      <c r="BG2" t="s">
        <v>185</v>
      </c>
      <c r="BH2" s="8" t="s">
        <v>154</v>
      </c>
      <c r="BI2" s="9"/>
    </row>
    <row r="3" spans="1:62">
      <c r="A3" t="s">
        <v>82</v>
      </c>
      <c r="B3">
        <v>16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86</v>
      </c>
      <c r="J3" s="7">
        <v>4</v>
      </c>
      <c r="K3">
        <v>2</v>
      </c>
      <c r="L3">
        <v>5</v>
      </c>
      <c r="M3">
        <v>7</v>
      </c>
      <c r="N3">
        <v>7</v>
      </c>
      <c r="O3">
        <v>4</v>
      </c>
      <c r="P3">
        <v>3</v>
      </c>
      <c r="Q3">
        <v>4</v>
      </c>
      <c r="R3" s="8">
        <f>(SUM(L3:N3)+5*8-SUM(J3:K3,O3:Q3))/8</f>
        <v>5.25</v>
      </c>
      <c r="T3" s="7">
        <v>7</v>
      </c>
      <c r="U3">
        <v>4</v>
      </c>
      <c r="V3">
        <v>2</v>
      </c>
      <c r="W3">
        <v>3</v>
      </c>
      <c r="X3">
        <v>5</v>
      </c>
      <c r="Y3">
        <v>5</v>
      </c>
      <c r="Z3">
        <v>4</v>
      </c>
      <c r="AA3">
        <v>3</v>
      </c>
      <c r="AB3">
        <v>4</v>
      </c>
      <c r="AC3">
        <v>5</v>
      </c>
      <c r="AD3">
        <v>2</v>
      </c>
      <c r="AE3">
        <v>4</v>
      </c>
      <c r="AF3">
        <v>2</v>
      </c>
      <c r="AG3">
        <v>3</v>
      </c>
      <c r="AH3" s="8">
        <f>(SUM(T3:U3,X3:AA3,AC3,AE3,AF3,AG3)+4*8-SUM(V3:W3,AB3,AD3))/14</f>
        <v>4.5</v>
      </c>
      <c r="AJ3" s="7">
        <v>5</v>
      </c>
      <c r="AK3">
        <v>3</v>
      </c>
      <c r="AL3">
        <v>5</v>
      </c>
      <c r="AM3">
        <v>7</v>
      </c>
      <c r="AN3">
        <v>7</v>
      </c>
      <c r="AO3">
        <v>5</v>
      </c>
      <c r="AP3">
        <v>7</v>
      </c>
      <c r="AQ3">
        <v>7</v>
      </c>
      <c r="AR3" s="8">
        <f>AVERAGE(AJ3:AQ3)</f>
        <v>5.75</v>
      </c>
      <c r="AT3" s="7">
        <v>4</v>
      </c>
      <c r="AU3">
        <v>7</v>
      </c>
      <c r="AV3">
        <v>5</v>
      </c>
      <c r="AW3">
        <v>6</v>
      </c>
      <c r="AX3">
        <v>7</v>
      </c>
      <c r="AY3">
        <v>4</v>
      </c>
      <c r="AZ3">
        <v>2</v>
      </c>
      <c r="BA3" s="8">
        <f>(SUM(AT3:AU3,AW3:AY3)+2*8-SUM(AV3,AZ3))/7</f>
        <v>5.28571428571429</v>
      </c>
      <c r="BC3" s="7">
        <v>4</v>
      </c>
      <c r="BD3">
        <v>5</v>
      </c>
      <c r="BE3" s="8">
        <f>SUM(BC3:BD3)</f>
        <v>9</v>
      </c>
      <c r="BF3" s="7">
        <v>4</v>
      </c>
      <c r="BG3">
        <v>4</v>
      </c>
      <c r="BH3" s="8">
        <f>SUM(BF3:BG3)</f>
        <v>8</v>
      </c>
      <c r="BI3">
        <f>BH3-BE3</f>
        <v>-1</v>
      </c>
    </row>
    <row r="4" s="4" customFormat="1" spans="1:62">
      <c r="A4" s="4" t="s">
        <v>88</v>
      </c>
      <c r="B4" s="4">
        <v>16</v>
      </c>
      <c r="C4" s="4" t="s">
        <v>83</v>
      </c>
      <c r="D4" s="4" t="s">
        <v>89</v>
      </c>
      <c r="E4" s="4" t="s">
        <v>85</v>
      </c>
      <c r="F4" s="4" t="s">
        <v>86</v>
      </c>
      <c r="G4" s="4" t="s">
        <v>86</v>
      </c>
      <c r="H4" s="4" t="s">
        <v>86</v>
      </c>
      <c r="J4" s="19">
        <v>3</v>
      </c>
      <c r="K4" s="4">
        <v>3</v>
      </c>
      <c r="L4" s="4">
        <v>5</v>
      </c>
      <c r="M4" s="4">
        <v>5</v>
      </c>
      <c r="N4" s="4">
        <v>7</v>
      </c>
      <c r="O4" s="4">
        <v>3</v>
      </c>
      <c r="P4" s="4">
        <v>3</v>
      </c>
      <c r="Q4" s="4">
        <v>3</v>
      </c>
      <c r="R4" s="8">
        <f t="shared" ref="R4:R52" si="0">(SUM(L4:N4)+5*8-SUM(J4:K4,O4:Q4))/8</f>
        <v>5.25</v>
      </c>
      <c r="T4" s="19">
        <v>7</v>
      </c>
      <c r="U4" s="4">
        <v>7</v>
      </c>
      <c r="V4" s="4">
        <v>4</v>
      </c>
      <c r="W4" s="4">
        <v>6</v>
      </c>
      <c r="X4" s="4">
        <v>7</v>
      </c>
      <c r="Y4" s="4">
        <v>7</v>
      </c>
      <c r="Z4" s="4">
        <v>6</v>
      </c>
      <c r="AA4" s="4">
        <v>7</v>
      </c>
      <c r="AB4" s="4">
        <v>4</v>
      </c>
      <c r="AC4" s="4">
        <v>6</v>
      </c>
      <c r="AD4" s="4">
        <v>2</v>
      </c>
      <c r="AE4" s="4">
        <v>5</v>
      </c>
      <c r="AF4" s="4">
        <v>4</v>
      </c>
      <c r="AG4" s="4">
        <v>4</v>
      </c>
      <c r="AH4" s="8">
        <f t="shared" ref="AH4:AH52" si="1">(SUM(T4:U4,X4:AA4,AC4,AE4,AF4,AG4)+4*8-SUM(V4:W4,AB4,AD4))/14</f>
        <v>5.42857142857143</v>
      </c>
      <c r="AJ4" s="19">
        <v>5</v>
      </c>
      <c r="AK4" s="4">
        <v>5</v>
      </c>
      <c r="AL4" s="4">
        <v>4</v>
      </c>
      <c r="AM4" s="4">
        <v>6</v>
      </c>
      <c r="AN4" s="4">
        <v>6</v>
      </c>
      <c r="AO4" s="4">
        <v>6</v>
      </c>
      <c r="AP4" s="4">
        <v>6</v>
      </c>
      <c r="AQ4" s="4">
        <v>4</v>
      </c>
      <c r="AR4" s="8">
        <f t="shared" ref="AR4:AR52" si="2">AVERAGE(AJ4:AQ4)</f>
        <v>5.25</v>
      </c>
      <c r="AT4" s="19">
        <v>4</v>
      </c>
      <c r="AU4" s="4">
        <v>4</v>
      </c>
      <c r="AV4" s="4">
        <v>5</v>
      </c>
      <c r="AW4" s="4">
        <v>3</v>
      </c>
      <c r="AX4" s="4">
        <v>6</v>
      </c>
      <c r="AY4" s="4">
        <v>6</v>
      </c>
      <c r="AZ4" s="4">
        <v>3</v>
      </c>
      <c r="BA4" s="8">
        <f t="shared" ref="BA4:BA52" si="3">(SUM(AT4:AU4,AW4:AY4)+2*8-SUM(AV4,AZ4))/7</f>
        <v>4.42857142857143</v>
      </c>
      <c r="BC4" s="19">
        <v>4</v>
      </c>
      <c r="BD4" s="4">
        <v>4</v>
      </c>
      <c r="BE4" s="8">
        <f t="shared" ref="BE4:BE27" si="4">SUM(BC4:BD4)</f>
        <v>8</v>
      </c>
      <c r="BF4" s="19">
        <v>5</v>
      </c>
      <c r="BG4" s="4">
        <v>5</v>
      </c>
      <c r="BH4" s="8">
        <f t="shared" ref="BH4:BH27" si="5">SUM(BF4:BG4)</f>
        <v>10</v>
      </c>
      <c r="BI4">
        <f t="shared" ref="BI4:BI27" si="6">BH4-BE4</f>
        <v>2</v>
      </c>
    </row>
    <row r="5" spans="1:62">
      <c r="A5" t="s">
        <v>90</v>
      </c>
      <c r="B5">
        <v>17</v>
      </c>
      <c r="C5" t="s">
        <v>91</v>
      </c>
      <c r="D5" t="s">
        <v>84</v>
      </c>
      <c r="E5" t="s">
        <v>85</v>
      </c>
      <c r="F5" t="s">
        <v>86</v>
      </c>
      <c r="G5" t="s">
        <v>86</v>
      </c>
      <c r="H5" t="s">
        <v>86</v>
      </c>
      <c r="J5" s="7">
        <v>3</v>
      </c>
      <c r="K5">
        <v>3</v>
      </c>
      <c r="L5">
        <v>4</v>
      </c>
      <c r="M5">
        <v>4</v>
      </c>
      <c r="N5">
        <v>4</v>
      </c>
      <c r="O5">
        <v>3</v>
      </c>
      <c r="P5">
        <v>2</v>
      </c>
      <c r="Q5">
        <v>3</v>
      </c>
      <c r="R5" s="8">
        <f t="shared" si="0"/>
        <v>4.75</v>
      </c>
      <c r="T5" s="7">
        <v>5</v>
      </c>
      <c r="U5">
        <v>5</v>
      </c>
      <c r="V5">
        <v>4</v>
      </c>
      <c r="W5">
        <v>2</v>
      </c>
      <c r="X5">
        <v>4</v>
      </c>
      <c r="Y5">
        <v>5</v>
      </c>
      <c r="Z5">
        <v>5</v>
      </c>
      <c r="AA5">
        <v>4</v>
      </c>
      <c r="AB5">
        <v>3</v>
      </c>
      <c r="AC5">
        <v>4</v>
      </c>
      <c r="AD5">
        <v>5</v>
      </c>
      <c r="AE5">
        <v>5</v>
      </c>
      <c r="AF5">
        <v>5</v>
      </c>
      <c r="AG5">
        <v>3</v>
      </c>
      <c r="AH5" s="8">
        <f t="shared" si="1"/>
        <v>4.5</v>
      </c>
      <c r="AJ5" s="7">
        <v>4</v>
      </c>
      <c r="AK5">
        <v>4</v>
      </c>
      <c r="AL5">
        <v>4</v>
      </c>
      <c r="AM5">
        <v>4</v>
      </c>
      <c r="AN5">
        <v>5</v>
      </c>
      <c r="AO5">
        <v>4</v>
      </c>
      <c r="AP5">
        <v>5</v>
      </c>
      <c r="AQ5">
        <v>5</v>
      </c>
      <c r="AR5" s="8">
        <f t="shared" si="2"/>
        <v>4.375</v>
      </c>
      <c r="AT5" s="7">
        <v>5</v>
      </c>
      <c r="AU5">
        <v>4</v>
      </c>
      <c r="AV5">
        <v>3</v>
      </c>
      <c r="AW5">
        <v>4</v>
      </c>
      <c r="AX5">
        <v>6</v>
      </c>
      <c r="AY5">
        <v>6</v>
      </c>
      <c r="AZ5">
        <v>4</v>
      </c>
      <c r="BA5" s="8">
        <f t="shared" si="3"/>
        <v>4.85714285714286</v>
      </c>
      <c r="BC5" s="7">
        <v>3</v>
      </c>
      <c r="BD5">
        <v>1</v>
      </c>
      <c r="BE5" s="8">
        <f t="shared" si="4"/>
        <v>4</v>
      </c>
      <c r="BF5" s="7">
        <v>4</v>
      </c>
      <c r="BG5">
        <v>5</v>
      </c>
      <c r="BH5" s="8">
        <f t="shared" si="5"/>
        <v>9</v>
      </c>
      <c r="BI5">
        <f t="shared" si="6"/>
        <v>5</v>
      </c>
    </row>
    <row r="6" spans="1:62">
      <c r="A6" t="s">
        <v>92</v>
      </c>
      <c r="B6">
        <v>16</v>
      </c>
      <c r="C6" t="s">
        <v>91</v>
      </c>
      <c r="D6" t="s">
        <v>84</v>
      </c>
      <c r="E6" t="s">
        <v>85</v>
      </c>
      <c r="F6" t="s">
        <v>86</v>
      </c>
      <c r="G6" t="s">
        <v>87</v>
      </c>
      <c r="H6" t="s">
        <v>86</v>
      </c>
      <c r="J6" s="7">
        <v>1</v>
      </c>
      <c r="K6">
        <v>1</v>
      </c>
      <c r="L6">
        <v>7</v>
      </c>
      <c r="M6">
        <v>7</v>
      </c>
      <c r="N6">
        <v>7</v>
      </c>
      <c r="O6">
        <v>1</v>
      </c>
      <c r="P6">
        <v>1</v>
      </c>
      <c r="Q6">
        <v>1</v>
      </c>
      <c r="R6" s="8">
        <f t="shared" si="0"/>
        <v>7</v>
      </c>
      <c r="T6" s="7">
        <v>7</v>
      </c>
      <c r="U6">
        <v>7</v>
      </c>
      <c r="V6">
        <v>1</v>
      </c>
      <c r="W6">
        <v>1</v>
      </c>
      <c r="X6">
        <v>7</v>
      </c>
      <c r="Y6">
        <v>7</v>
      </c>
      <c r="Z6">
        <v>5</v>
      </c>
      <c r="AA6">
        <v>4</v>
      </c>
      <c r="AB6">
        <v>4</v>
      </c>
      <c r="AC6">
        <v>5</v>
      </c>
      <c r="AD6">
        <v>2</v>
      </c>
      <c r="AE6">
        <v>7</v>
      </c>
      <c r="AF6">
        <v>1</v>
      </c>
      <c r="AG6">
        <v>7</v>
      </c>
      <c r="AH6" s="8">
        <f t="shared" si="1"/>
        <v>5.78571428571429</v>
      </c>
      <c r="AJ6" s="7">
        <v>7</v>
      </c>
      <c r="AK6">
        <v>7</v>
      </c>
      <c r="AL6">
        <v>7</v>
      </c>
      <c r="AM6">
        <v>7</v>
      </c>
      <c r="AN6">
        <v>7</v>
      </c>
      <c r="AO6">
        <v>7</v>
      </c>
      <c r="AP6">
        <v>7</v>
      </c>
      <c r="AQ6">
        <v>7</v>
      </c>
      <c r="AR6" s="8">
        <f t="shared" si="2"/>
        <v>7</v>
      </c>
      <c r="AT6" s="7">
        <v>7</v>
      </c>
      <c r="AU6">
        <v>7</v>
      </c>
      <c r="AV6">
        <v>1</v>
      </c>
      <c r="AW6">
        <v>7</v>
      </c>
      <c r="AX6">
        <v>7</v>
      </c>
      <c r="AY6">
        <v>7</v>
      </c>
      <c r="AZ6">
        <v>1</v>
      </c>
      <c r="BA6" s="8">
        <f t="shared" si="3"/>
        <v>7</v>
      </c>
      <c r="BC6" s="7">
        <v>5</v>
      </c>
      <c r="BD6">
        <v>5</v>
      </c>
      <c r="BE6" s="8">
        <f t="shared" si="4"/>
        <v>10</v>
      </c>
      <c r="BF6" s="7">
        <v>5</v>
      </c>
      <c r="BG6">
        <v>5</v>
      </c>
      <c r="BH6" s="8">
        <f t="shared" si="5"/>
        <v>10</v>
      </c>
      <c r="BI6">
        <f t="shared" si="6"/>
        <v>0</v>
      </c>
    </row>
    <row r="7" spans="1:62">
      <c r="A7" t="s">
        <v>93</v>
      </c>
      <c r="B7">
        <v>16</v>
      </c>
      <c r="C7" t="s">
        <v>91</v>
      </c>
      <c r="D7" t="s">
        <v>84</v>
      </c>
      <c r="E7" t="s">
        <v>85</v>
      </c>
      <c r="F7" t="s">
        <v>86</v>
      </c>
      <c r="G7" t="s">
        <v>87</v>
      </c>
      <c r="H7" t="s">
        <v>86</v>
      </c>
      <c r="J7" s="7">
        <v>4</v>
      </c>
      <c r="K7">
        <v>2</v>
      </c>
      <c r="L7">
        <v>6</v>
      </c>
      <c r="M7">
        <v>6</v>
      </c>
      <c r="N7">
        <v>6</v>
      </c>
      <c r="O7">
        <v>2</v>
      </c>
      <c r="P7">
        <v>2</v>
      </c>
      <c r="Q7">
        <v>2</v>
      </c>
      <c r="R7" s="8">
        <f t="shared" si="0"/>
        <v>5.75</v>
      </c>
      <c r="T7" s="7">
        <v>7</v>
      </c>
      <c r="U7">
        <v>7</v>
      </c>
      <c r="V7">
        <v>4</v>
      </c>
      <c r="W7">
        <v>4</v>
      </c>
      <c r="X7">
        <v>5</v>
      </c>
      <c r="Y7">
        <v>5</v>
      </c>
      <c r="Z7">
        <v>3</v>
      </c>
      <c r="AA7">
        <v>3</v>
      </c>
      <c r="AB7">
        <v>3</v>
      </c>
      <c r="AC7">
        <v>5</v>
      </c>
      <c r="AD7">
        <v>5</v>
      </c>
      <c r="AE7">
        <v>6</v>
      </c>
      <c r="AF7">
        <v>1</v>
      </c>
      <c r="AG7">
        <v>1</v>
      </c>
      <c r="AH7" s="8">
        <f t="shared" si="1"/>
        <v>4.21428571428571</v>
      </c>
      <c r="AJ7" s="7">
        <v>4</v>
      </c>
      <c r="AK7">
        <v>5</v>
      </c>
      <c r="AL7">
        <v>4</v>
      </c>
      <c r="AM7">
        <v>4</v>
      </c>
      <c r="AN7">
        <v>5</v>
      </c>
      <c r="AO7">
        <v>6</v>
      </c>
      <c r="AP7">
        <v>6</v>
      </c>
      <c r="AQ7">
        <v>6</v>
      </c>
      <c r="AR7" s="8">
        <f t="shared" si="2"/>
        <v>5</v>
      </c>
      <c r="AT7" s="7">
        <v>5</v>
      </c>
      <c r="AU7">
        <v>5</v>
      </c>
      <c r="AV7">
        <v>4</v>
      </c>
      <c r="AW7">
        <v>4</v>
      </c>
      <c r="AX7">
        <v>6</v>
      </c>
      <c r="AY7">
        <v>6</v>
      </c>
      <c r="AZ7">
        <v>3</v>
      </c>
      <c r="BA7" s="8">
        <f t="shared" si="3"/>
        <v>5</v>
      </c>
      <c r="BC7" s="7">
        <v>5</v>
      </c>
      <c r="BD7">
        <v>5</v>
      </c>
      <c r="BE7" s="8">
        <f t="shared" si="4"/>
        <v>10</v>
      </c>
      <c r="BF7" s="7">
        <v>5</v>
      </c>
      <c r="BG7">
        <v>5</v>
      </c>
      <c r="BH7" s="8">
        <f t="shared" si="5"/>
        <v>10</v>
      </c>
      <c r="BI7">
        <f t="shared" si="6"/>
        <v>0</v>
      </c>
    </row>
    <row r="8" spans="1:62">
      <c r="A8" t="s">
        <v>94</v>
      </c>
      <c r="B8">
        <v>16</v>
      </c>
      <c r="C8" t="s">
        <v>91</v>
      </c>
      <c r="D8" t="s">
        <v>84</v>
      </c>
      <c r="E8" t="s">
        <v>85</v>
      </c>
      <c r="F8" t="s">
        <v>86</v>
      </c>
      <c r="G8" t="s">
        <v>87</v>
      </c>
      <c r="H8" t="s">
        <v>86</v>
      </c>
      <c r="J8" s="7">
        <v>2</v>
      </c>
      <c r="K8">
        <v>2</v>
      </c>
      <c r="L8">
        <v>7</v>
      </c>
      <c r="M8">
        <v>7</v>
      </c>
      <c r="N8">
        <v>7</v>
      </c>
      <c r="O8">
        <v>2</v>
      </c>
      <c r="P8">
        <v>2</v>
      </c>
      <c r="Q8">
        <v>2</v>
      </c>
      <c r="R8" s="8">
        <f t="shared" si="0"/>
        <v>6.375</v>
      </c>
      <c r="T8" s="7">
        <v>7</v>
      </c>
      <c r="U8">
        <v>6</v>
      </c>
      <c r="V8">
        <v>2</v>
      </c>
      <c r="W8">
        <v>6</v>
      </c>
      <c r="X8">
        <v>4</v>
      </c>
      <c r="Y8">
        <v>5</v>
      </c>
      <c r="Z8">
        <v>5</v>
      </c>
      <c r="AA8">
        <v>5</v>
      </c>
      <c r="AB8">
        <v>3</v>
      </c>
      <c r="AC8">
        <v>5</v>
      </c>
      <c r="AD8">
        <v>3</v>
      </c>
      <c r="AE8">
        <v>4</v>
      </c>
      <c r="AF8">
        <v>3</v>
      </c>
      <c r="AG8">
        <v>2</v>
      </c>
      <c r="AH8" s="8">
        <f t="shared" si="1"/>
        <v>4.57142857142857</v>
      </c>
      <c r="AJ8" s="7">
        <v>3</v>
      </c>
      <c r="AK8">
        <v>4</v>
      </c>
      <c r="AL8">
        <v>6</v>
      </c>
      <c r="AM8">
        <v>3</v>
      </c>
      <c r="AN8">
        <v>6</v>
      </c>
      <c r="AO8">
        <v>3</v>
      </c>
      <c r="AP8">
        <v>5</v>
      </c>
      <c r="AQ8">
        <v>6</v>
      </c>
      <c r="AR8" s="8">
        <f t="shared" si="2"/>
        <v>4.5</v>
      </c>
      <c r="AT8" s="7">
        <v>6</v>
      </c>
      <c r="AU8">
        <v>6</v>
      </c>
      <c r="AV8">
        <v>3</v>
      </c>
      <c r="AW8">
        <v>4</v>
      </c>
      <c r="AX8">
        <v>5</v>
      </c>
      <c r="AY8">
        <v>5</v>
      </c>
      <c r="AZ8">
        <v>3</v>
      </c>
      <c r="BA8" s="8">
        <f t="shared" si="3"/>
        <v>5.14285714285714</v>
      </c>
      <c r="BC8" s="7">
        <v>5</v>
      </c>
      <c r="BD8">
        <v>5</v>
      </c>
      <c r="BE8" s="8">
        <f t="shared" si="4"/>
        <v>10</v>
      </c>
      <c r="BF8" s="7">
        <v>5</v>
      </c>
      <c r="BG8">
        <v>5</v>
      </c>
      <c r="BH8" s="8">
        <f t="shared" si="5"/>
        <v>10</v>
      </c>
      <c r="BI8">
        <f t="shared" si="6"/>
        <v>0</v>
      </c>
    </row>
    <row r="9" spans="1:62">
      <c r="A9" t="s">
        <v>95</v>
      </c>
      <c r="B9">
        <v>16</v>
      </c>
      <c r="C9" t="s">
        <v>91</v>
      </c>
      <c r="D9" t="s">
        <v>84</v>
      </c>
      <c r="E9" t="s">
        <v>85</v>
      </c>
      <c r="F9" t="s">
        <v>86</v>
      </c>
      <c r="G9" t="s">
        <v>87</v>
      </c>
      <c r="H9" t="s">
        <v>86</v>
      </c>
      <c r="J9" s="7">
        <v>5</v>
      </c>
      <c r="K9">
        <v>4</v>
      </c>
      <c r="L9">
        <v>6</v>
      </c>
      <c r="M9">
        <v>6</v>
      </c>
      <c r="N9">
        <v>4</v>
      </c>
      <c r="O9">
        <v>2</v>
      </c>
      <c r="P9">
        <v>2</v>
      </c>
      <c r="Q9">
        <v>2</v>
      </c>
      <c r="R9" s="8">
        <f t="shared" si="0"/>
        <v>5.125</v>
      </c>
      <c r="T9" s="7">
        <v>6</v>
      </c>
      <c r="U9">
        <v>6</v>
      </c>
      <c r="V9">
        <v>3</v>
      </c>
      <c r="W9">
        <v>5</v>
      </c>
      <c r="X9">
        <v>6</v>
      </c>
      <c r="Y9">
        <v>6</v>
      </c>
      <c r="Z9">
        <v>2</v>
      </c>
      <c r="AA9">
        <v>6</v>
      </c>
      <c r="AB9">
        <v>4</v>
      </c>
      <c r="AC9">
        <v>6</v>
      </c>
      <c r="AD9">
        <v>3</v>
      </c>
      <c r="AE9">
        <v>3</v>
      </c>
      <c r="AF9">
        <v>2</v>
      </c>
      <c r="AG9">
        <v>2</v>
      </c>
      <c r="AH9" s="8">
        <f t="shared" si="1"/>
        <v>4.42857142857143</v>
      </c>
      <c r="AJ9" s="7">
        <v>4</v>
      </c>
      <c r="AK9">
        <v>3</v>
      </c>
      <c r="AL9">
        <v>3</v>
      </c>
      <c r="AM9">
        <v>3</v>
      </c>
      <c r="AN9">
        <v>5</v>
      </c>
      <c r="AO9">
        <v>5</v>
      </c>
      <c r="AP9">
        <v>5</v>
      </c>
      <c r="AQ9">
        <v>6</v>
      </c>
      <c r="AR9" s="8">
        <f t="shared" si="2"/>
        <v>4.25</v>
      </c>
      <c r="AT9" s="7">
        <v>3</v>
      </c>
      <c r="AU9">
        <v>2</v>
      </c>
      <c r="AV9">
        <v>6</v>
      </c>
      <c r="AW9">
        <v>3</v>
      </c>
      <c r="AX9">
        <v>4</v>
      </c>
      <c r="AY9">
        <v>2</v>
      </c>
      <c r="AZ9">
        <v>5</v>
      </c>
      <c r="BA9" s="8">
        <f t="shared" si="3"/>
        <v>2.71428571428571</v>
      </c>
      <c r="BC9" s="7">
        <v>5</v>
      </c>
      <c r="BD9">
        <v>5</v>
      </c>
      <c r="BE9" s="8">
        <f t="shared" si="4"/>
        <v>10</v>
      </c>
      <c r="BF9" s="7">
        <v>5</v>
      </c>
      <c r="BG9">
        <v>5</v>
      </c>
      <c r="BH9" s="8">
        <f t="shared" si="5"/>
        <v>10</v>
      </c>
      <c r="BI9">
        <f t="shared" si="6"/>
        <v>0</v>
      </c>
    </row>
    <row r="10" spans="1:62">
      <c r="A10" t="s">
        <v>96</v>
      </c>
      <c r="B10">
        <v>16</v>
      </c>
      <c r="C10" t="s">
        <v>91</v>
      </c>
      <c r="D10" t="s">
        <v>84</v>
      </c>
      <c r="E10" t="s">
        <v>85</v>
      </c>
      <c r="F10" t="s">
        <v>87</v>
      </c>
      <c r="G10" t="s">
        <v>87</v>
      </c>
      <c r="H10" t="s">
        <v>86</v>
      </c>
      <c r="J10" s="7">
        <v>6</v>
      </c>
      <c r="K10">
        <v>3</v>
      </c>
      <c r="L10">
        <v>7</v>
      </c>
      <c r="M10">
        <v>5</v>
      </c>
      <c r="N10">
        <v>5</v>
      </c>
      <c r="O10">
        <v>2</v>
      </c>
      <c r="P10">
        <v>2</v>
      </c>
      <c r="Q10">
        <v>2</v>
      </c>
      <c r="R10" s="8">
        <f t="shared" si="0"/>
        <v>5.25</v>
      </c>
      <c r="T10" s="7">
        <v>6</v>
      </c>
      <c r="U10">
        <v>6</v>
      </c>
      <c r="V10">
        <v>5</v>
      </c>
      <c r="W10">
        <v>4</v>
      </c>
      <c r="X10">
        <v>5</v>
      </c>
      <c r="Y10">
        <v>4</v>
      </c>
      <c r="Z10">
        <v>5</v>
      </c>
      <c r="AA10">
        <v>3</v>
      </c>
      <c r="AB10">
        <v>5</v>
      </c>
      <c r="AC10">
        <v>5</v>
      </c>
      <c r="AD10">
        <v>3</v>
      </c>
      <c r="AE10">
        <v>5</v>
      </c>
      <c r="AF10">
        <v>3</v>
      </c>
      <c r="AG10">
        <v>2</v>
      </c>
      <c r="AH10" s="8">
        <f t="shared" si="1"/>
        <v>4.21428571428571</v>
      </c>
      <c r="AJ10" s="7">
        <v>5</v>
      </c>
      <c r="AK10">
        <v>5</v>
      </c>
      <c r="AL10">
        <v>6</v>
      </c>
      <c r="AM10">
        <v>6</v>
      </c>
      <c r="AN10">
        <v>7</v>
      </c>
      <c r="AO10">
        <v>7</v>
      </c>
      <c r="AP10">
        <v>3</v>
      </c>
      <c r="AQ10">
        <v>5</v>
      </c>
      <c r="AR10" s="8">
        <f t="shared" si="2"/>
        <v>5.5</v>
      </c>
      <c r="AT10" s="7">
        <v>6</v>
      </c>
      <c r="AU10">
        <v>6</v>
      </c>
      <c r="AV10">
        <v>6</v>
      </c>
      <c r="AW10">
        <v>5</v>
      </c>
      <c r="AX10">
        <v>3</v>
      </c>
      <c r="AY10">
        <v>6</v>
      </c>
      <c r="AZ10">
        <v>5</v>
      </c>
      <c r="BA10" s="8">
        <f t="shared" si="3"/>
        <v>4.42857142857143</v>
      </c>
      <c r="BC10" s="7">
        <v>5</v>
      </c>
      <c r="BD10">
        <v>3</v>
      </c>
      <c r="BE10" s="8">
        <f t="shared" si="4"/>
        <v>8</v>
      </c>
      <c r="BF10" s="7">
        <v>5</v>
      </c>
      <c r="BG10">
        <v>3</v>
      </c>
      <c r="BH10" s="8">
        <f t="shared" si="5"/>
        <v>8</v>
      </c>
      <c r="BI10">
        <f t="shared" si="6"/>
        <v>0</v>
      </c>
      <c r="BJ10" t="s">
        <v>186</v>
      </c>
    </row>
    <row r="11" spans="1:62">
      <c r="A11" t="s">
        <v>97</v>
      </c>
      <c r="B11">
        <v>17</v>
      </c>
      <c r="C11" t="s">
        <v>91</v>
      </c>
      <c r="D11" t="s">
        <v>84</v>
      </c>
      <c r="E11" t="s">
        <v>85</v>
      </c>
      <c r="F11" t="s">
        <v>86</v>
      </c>
      <c r="G11" t="s">
        <v>87</v>
      </c>
      <c r="H11" t="s">
        <v>86</v>
      </c>
      <c r="J11" s="7">
        <v>3</v>
      </c>
      <c r="K11">
        <v>2</v>
      </c>
      <c r="L11">
        <v>6</v>
      </c>
      <c r="M11">
        <v>7</v>
      </c>
      <c r="N11">
        <v>7</v>
      </c>
      <c r="O11">
        <v>2</v>
      </c>
      <c r="P11">
        <v>1</v>
      </c>
      <c r="Q11">
        <v>1</v>
      </c>
      <c r="R11" s="8">
        <f t="shared" si="0"/>
        <v>6.375</v>
      </c>
      <c r="T11" s="7">
        <v>6</v>
      </c>
      <c r="U11">
        <v>6</v>
      </c>
      <c r="V11">
        <v>5</v>
      </c>
      <c r="W11">
        <v>6</v>
      </c>
      <c r="X11">
        <v>7</v>
      </c>
      <c r="Y11">
        <v>7</v>
      </c>
      <c r="Z11">
        <v>6</v>
      </c>
      <c r="AA11">
        <v>5</v>
      </c>
      <c r="AB11">
        <v>2</v>
      </c>
      <c r="AC11">
        <v>6</v>
      </c>
      <c r="AD11">
        <v>2</v>
      </c>
      <c r="AE11">
        <v>6</v>
      </c>
      <c r="AF11">
        <v>5</v>
      </c>
      <c r="AG11">
        <v>1</v>
      </c>
      <c r="AH11" s="8">
        <f t="shared" si="1"/>
        <v>5.14285714285714</v>
      </c>
      <c r="AJ11" s="7">
        <v>5</v>
      </c>
      <c r="AK11">
        <v>5</v>
      </c>
      <c r="AL11">
        <v>7</v>
      </c>
      <c r="AM11">
        <v>5</v>
      </c>
      <c r="AN11">
        <v>6</v>
      </c>
      <c r="AO11">
        <v>6</v>
      </c>
      <c r="AP11">
        <v>7</v>
      </c>
      <c r="AQ11">
        <v>5</v>
      </c>
      <c r="AR11" s="8">
        <f t="shared" si="2"/>
        <v>5.75</v>
      </c>
      <c r="AT11" s="7">
        <v>6</v>
      </c>
      <c r="AU11">
        <v>6</v>
      </c>
      <c r="AV11">
        <v>5</v>
      </c>
      <c r="AW11">
        <v>5</v>
      </c>
      <c r="AX11">
        <v>6</v>
      </c>
      <c r="AY11">
        <v>7</v>
      </c>
      <c r="AZ11">
        <v>2</v>
      </c>
      <c r="BA11" s="8">
        <f t="shared" si="3"/>
        <v>5.57142857142857</v>
      </c>
      <c r="BC11" s="7">
        <v>4</v>
      </c>
      <c r="BD11">
        <v>5</v>
      </c>
      <c r="BE11" s="8">
        <f t="shared" si="4"/>
        <v>9</v>
      </c>
      <c r="BF11" s="7">
        <v>5</v>
      </c>
      <c r="BG11">
        <v>5</v>
      </c>
      <c r="BH11" s="8">
        <f t="shared" si="5"/>
        <v>10</v>
      </c>
      <c r="BI11">
        <f t="shared" si="6"/>
        <v>1</v>
      </c>
    </row>
    <row r="12" spans="1:62">
      <c r="A12" t="s">
        <v>98</v>
      </c>
      <c r="B12">
        <v>16</v>
      </c>
      <c r="C12" t="s">
        <v>91</v>
      </c>
      <c r="D12" t="s">
        <v>84</v>
      </c>
      <c r="E12" t="s">
        <v>85</v>
      </c>
      <c r="F12" t="s">
        <v>87</v>
      </c>
      <c r="G12" t="s">
        <v>87</v>
      </c>
      <c r="H12" t="s">
        <v>87</v>
      </c>
      <c r="J12" s="7">
        <v>1</v>
      </c>
      <c r="K12">
        <v>1</v>
      </c>
      <c r="L12">
        <v>7</v>
      </c>
      <c r="M12">
        <v>7</v>
      </c>
      <c r="N12">
        <v>7</v>
      </c>
      <c r="O12">
        <v>1</v>
      </c>
      <c r="P12">
        <v>1</v>
      </c>
      <c r="Q12">
        <v>1</v>
      </c>
      <c r="R12" s="8">
        <f t="shared" si="0"/>
        <v>7</v>
      </c>
      <c r="T12" s="7">
        <v>7</v>
      </c>
      <c r="U12">
        <v>6</v>
      </c>
      <c r="V12">
        <v>2</v>
      </c>
      <c r="W12">
        <v>4</v>
      </c>
      <c r="X12">
        <v>6</v>
      </c>
      <c r="Y12">
        <v>4</v>
      </c>
      <c r="Z12">
        <v>5</v>
      </c>
      <c r="AA12">
        <v>2</v>
      </c>
      <c r="AB12">
        <v>4</v>
      </c>
      <c r="AC12">
        <v>5</v>
      </c>
      <c r="AD12">
        <v>5</v>
      </c>
      <c r="AE12">
        <v>5</v>
      </c>
      <c r="AF12">
        <v>4</v>
      </c>
      <c r="AG12">
        <v>3</v>
      </c>
      <c r="AH12" s="8">
        <f t="shared" si="1"/>
        <v>4.57142857142857</v>
      </c>
      <c r="AJ12" s="7">
        <v>2</v>
      </c>
      <c r="AK12">
        <v>2</v>
      </c>
      <c r="AL12">
        <v>5</v>
      </c>
      <c r="AM12">
        <v>6</v>
      </c>
      <c r="AN12">
        <v>6</v>
      </c>
      <c r="AO12">
        <v>7</v>
      </c>
      <c r="AP12">
        <v>6</v>
      </c>
      <c r="AQ12">
        <v>5</v>
      </c>
      <c r="AR12" s="8">
        <f t="shared" si="2"/>
        <v>4.875</v>
      </c>
      <c r="AT12" s="7">
        <v>7</v>
      </c>
      <c r="AU12">
        <v>6</v>
      </c>
      <c r="AV12">
        <v>2</v>
      </c>
      <c r="AW12">
        <v>5</v>
      </c>
      <c r="AX12">
        <v>7</v>
      </c>
      <c r="AY12">
        <v>5</v>
      </c>
      <c r="AZ12">
        <v>3</v>
      </c>
      <c r="BA12" s="8">
        <f t="shared" si="3"/>
        <v>5.85714285714286</v>
      </c>
      <c r="BC12" s="7">
        <v>5</v>
      </c>
      <c r="BD12">
        <v>5</v>
      </c>
      <c r="BE12" s="8">
        <f t="shared" si="4"/>
        <v>10</v>
      </c>
      <c r="BF12" s="7">
        <v>5</v>
      </c>
      <c r="BG12">
        <v>5</v>
      </c>
      <c r="BH12" s="8">
        <f t="shared" si="5"/>
        <v>10</v>
      </c>
      <c r="BI12">
        <f t="shared" si="6"/>
        <v>0</v>
      </c>
    </row>
    <row r="13" spans="1:62">
      <c r="A13" t="s">
        <v>99</v>
      </c>
      <c r="B13">
        <v>17</v>
      </c>
      <c r="C13" t="s">
        <v>91</v>
      </c>
      <c r="D13" t="s">
        <v>84</v>
      </c>
      <c r="E13" t="s">
        <v>85</v>
      </c>
      <c r="F13" t="s">
        <v>87</v>
      </c>
      <c r="G13" t="s">
        <v>87</v>
      </c>
      <c r="H13" t="s">
        <v>87</v>
      </c>
      <c r="J13" s="7">
        <v>3</v>
      </c>
      <c r="K13">
        <v>1</v>
      </c>
      <c r="L13">
        <v>2</v>
      </c>
      <c r="M13">
        <v>4</v>
      </c>
      <c r="N13">
        <v>6</v>
      </c>
      <c r="O13">
        <v>2</v>
      </c>
      <c r="P13">
        <v>1</v>
      </c>
      <c r="Q13">
        <v>3</v>
      </c>
      <c r="R13" s="8">
        <f t="shared" si="0"/>
        <v>5.25</v>
      </c>
      <c r="T13" s="7">
        <v>7</v>
      </c>
      <c r="U13">
        <v>6</v>
      </c>
      <c r="V13">
        <v>2</v>
      </c>
      <c r="W13">
        <v>2</v>
      </c>
      <c r="X13">
        <v>6</v>
      </c>
      <c r="Y13">
        <v>6</v>
      </c>
      <c r="Z13">
        <v>5</v>
      </c>
      <c r="AA13">
        <v>3</v>
      </c>
      <c r="AB13">
        <v>5</v>
      </c>
      <c r="AC13">
        <v>3</v>
      </c>
      <c r="AD13">
        <v>6</v>
      </c>
      <c r="AE13">
        <v>6</v>
      </c>
      <c r="AF13">
        <v>6</v>
      </c>
      <c r="AG13">
        <v>2</v>
      </c>
      <c r="AH13" s="8">
        <f t="shared" si="1"/>
        <v>4.78571428571429</v>
      </c>
      <c r="AJ13" s="7">
        <v>3</v>
      </c>
      <c r="AK13">
        <v>5</v>
      </c>
      <c r="AL13">
        <v>6</v>
      </c>
      <c r="AM13">
        <v>5</v>
      </c>
      <c r="AN13">
        <v>6</v>
      </c>
      <c r="AO13">
        <v>6</v>
      </c>
      <c r="AP13">
        <v>7</v>
      </c>
      <c r="AQ13">
        <v>7</v>
      </c>
      <c r="AR13" s="8">
        <f t="shared" si="2"/>
        <v>5.625</v>
      </c>
      <c r="AT13" s="7">
        <v>5</v>
      </c>
      <c r="AU13">
        <v>4</v>
      </c>
      <c r="AV13">
        <v>2</v>
      </c>
      <c r="AW13">
        <v>4</v>
      </c>
      <c r="AX13">
        <v>7</v>
      </c>
      <c r="AY13">
        <v>7</v>
      </c>
      <c r="AZ13">
        <v>2</v>
      </c>
      <c r="BA13" s="8">
        <f t="shared" si="3"/>
        <v>5.57142857142857</v>
      </c>
      <c r="BC13" s="7">
        <v>5</v>
      </c>
      <c r="BD13">
        <v>5</v>
      </c>
      <c r="BE13" s="8">
        <f t="shared" si="4"/>
        <v>10</v>
      </c>
      <c r="BF13" s="7">
        <v>5</v>
      </c>
      <c r="BG13">
        <v>5</v>
      </c>
      <c r="BH13" s="8">
        <f t="shared" si="5"/>
        <v>10</v>
      </c>
      <c r="BI13">
        <f t="shared" si="6"/>
        <v>0</v>
      </c>
    </row>
    <row r="14" s="5" customFormat="1" spans="1:62">
      <c r="A14" s="5" t="s">
        <v>138</v>
      </c>
      <c r="B14" s="5">
        <v>16</v>
      </c>
      <c r="C14" s="5" t="s">
        <v>91</v>
      </c>
      <c r="D14" s="5" t="s">
        <v>84</v>
      </c>
      <c r="E14" s="5" t="s">
        <v>85</v>
      </c>
      <c r="F14" s="5" t="s">
        <v>86</v>
      </c>
      <c r="G14" s="5" t="s">
        <v>86</v>
      </c>
      <c r="H14" s="5" t="s">
        <v>86</v>
      </c>
      <c r="J14" s="20">
        <v>4</v>
      </c>
      <c r="K14" s="5">
        <v>3</v>
      </c>
      <c r="L14" s="5">
        <v>7</v>
      </c>
      <c r="M14" s="5">
        <v>7</v>
      </c>
      <c r="N14" s="5">
        <v>7</v>
      </c>
      <c r="O14" s="5">
        <v>3</v>
      </c>
      <c r="P14" s="5">
        <v>2</v>
      </c>
      <c r="Q14" s="5">
        <v>2</v>
      </c>
      <c r="R14" s="8">
        <f t="shared" si="0"/>
        <v>5.875</v>
      </c>
      <c r="T14" s="20">
        <v>7</v>
      </c>
      <c r="U14" s="5">
        <v>7</v>
      </c>
      <c r="V14" s="5">
        <v>7</v>
      </c>
      <c r="W14" s="5">
        <v>4</v>
      </c>
      <c r="X14" s="5">
        <v>7</v>
      </c>
      <c r="Y14" s="5">
        <v>7</v>
      </c>
      <c r="Z14" s="5">
        <v>7</v>
      </c>
      <c r="AA14" s="5">
        <v>4</v>
      </c>
      <c r="AB14" s="5">
        <v>7</v>
      </c>
      <c r="AC14" s="5">
        <v>4</v>
      </c>
      <c r="AD14" s="5">
        <v>2</v>
      </c>
      <c r="AE14" s="5">
        <v>4</v>
      </c>
      <c r="AF14" s="5">
        <v>4</v>
      </c>
      <c r="AG14" s="5">
        <v>4</v>
      </c>
      <c r="AH14" s="8">
        <f t="shared" si="1"/>
        <v>4.78571428571429</v>
      </c>
      <c r="AJ14" s="20">
        <v>4</v>
      </c>
      <c r="AK14" s="5">
        <v>4</v>
      </c>
      <c r="AL14" s="5">
        <v>4</v>
      </c>
      <c r="AM14" s="5">
        <v>4</v>
      </c>
      <c r="AN14" s="5">
        <v>4</v>
      </c>
      <c r="AO14" s="5">
        <v>4</v>
      </c>
      <c r="AP14" s="5">
        <v>4</v>
      </c>
      <c r="AQ14" s="5">
        <v>4</v>
      </c>
      <c r="AR14" s="8">
        <f t="shared" si="2"/>
        <v>4</v>
      </c>
      <c r="AT14" s="20">
        <v>4</v>
      </c>
      <c r="AU14" s="5">
        <v>4</v>
      </c>
      <c r="AV14" s="5">
        <v>4</v>
      </c>
      <c r="AW14" s="5">
        <v>4</v>
      </c>
      <c r="AX14" s="5">
        <v>4</v>
      </c>
      <c r="AY14" s="5">
        <v>4</v>
      </c>
      <c r="AZ14" s="5">
        <v>4</v>
      </c>
      <c r="BA14" s="8">
        <f t="shared" si="3"/>
        <v>4</v>
      </c>
      <c r="BC14" s="20">
        <v>5</v>
      </c>
      <c r="BD14" s="5">
        <v>5</v>
      </c>
      <c r="BE14" s="8">
        <f t="shared" si="4"/>
        <v>10</v>
      </c>
      <c r="BF14" s="20">
        <v>5</v>
      </c>
      <c r="BG14" s="5">
        <v>5</v>
      </c>
      <c r="BH14" s="8">
        <f t="shared" si="5"/>
        <v>10</v>
      </c>
      <c r="BI14">
        <f t="shared" si="6"/>
        <v>0</v>
      </c>
    </row>
    <row r="15" spans="1:62">
      <c r="A15" t="s">
        <v>101</v>
      </c>
      <c r="B15">
        <v>16</v>
      </c>
      <c r="C15" t="s">
        <v>91</v>
      </c>
      <c r="D15" t="s">
        <v>84</v>
      </c>
      <c r="E15" t="s">
        <v>85</v>
      </c>
      <c r="F15" t="s">
        <v>86</v>
      </c>
      <c r="G15" t="s">
        <v>87</v>
      </c>
      <c r="H15" t="s">
        <v>86</v>
      </c>
      <c r="J15" s="7">
        <v>3</v>
      </c>
      <c r="K15">
        <v>1</v>
      </c>
      <c r="L15">
        <v>7</v>
      </c>
      <c r="M15">
        <v>7</v>
      </c>
      <c r="N15">
        <v>7</v>
      </c>
      <c r="O15">
        <v>1</v>
      </c>
      <c r="P15">
        <v>1</v>
      </c>
      <c r="Q15">
        <v>1</v>
      </c>
      <c r="R15" s="8">
        <f t="shared" si="0"/>
        <v>6.75</v>
      </c>
      <c r="T15" s="7">
        <v>7</v>
      </c>
      <c r="U15">
        <v>7</v>
      </c>
      <c r="V15">
        <v>2</v>
      </c>
      <c r="W15">
        <v>1</v>
      </c>
      <c r="X15">
        <v>7</v>
      </c>
      <c r="Y15">
        <v>7</v>
      </c>
      <c r="Z15">
        <v>1</v>
      </c>
      <c r="AA15">
        <v>7</v>
      </c>
      <c r="AB15">
        <v>1</v>
      </c>
      <c r="AC15">
        <v>7</v>
      </c>
      <c r="AD15">
        <v>1</v>
      </c>
      <c r="AE15">
        <v>7</v>
      </c>
      <c r="AF15">
        <v>7</v>
      </c>
      <c r="AG15">
        <v>7</v>
      </c>
      <c r="AH15" s="8">
        <f t="shared" si="1"/>
        <v>6.5</v>
      </c>
      <c r="AJ15" s="7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  <c r="AQ15">
        <v>7</v>
      </c>
      <c r="AR15" s="8">
        <f t="shared" si="2"/>
        <v>7</v>
      </c>
      <c r="AT15" s="7">
        <v>7</v>
      </c>
      <c r="AU15">
        <v>7</v>
      </c>
      <c r="AV15">
        <v>2</v>
      </c>
      <c r="AW15">
        <v>7</v>
      </c>
      <c r="AX15">
        <v>7</v>
      </c>
      <c r="AY15">
        <v>7</v>
      </c>
      <c r="AZ15">
        <v>1</v>
      </c>
      <c r="BA15" s="8">
        <f t="shared" si="3"/>
        <v>6.85714285714286</v>
      </c>
      <c r="BC15" s="7">
        <v>4</v>
      </c>
      <c r="BD15">
        <v>5</v>
      </c>
      <c r="BE15" s="8">
        <f t="shared" si="4"/>
        <v>9</v>
      </c>
      <c r="BF15" s="7">
        <v>4</v>
      </c>
      <c r="BG15">
        <v>5</v>
      </c>
      <c r="BH15" s="8">
        <f t="shared" si="5"/>
        <v>9</v>
      </c>
      <c r="BI15">
        <f t="shared" si="6"/>
        <v>0</v>
      </c>
    </row>
    <row r="16" spans="1:62">
      <c r="A16" t="s">
        <v>102</v>
      </c>
      <c r="B16">
        <v>17</v>
      </c>
      <c r="C16" t="s">
        <v>91</v>
      </c>
      <c r="D16" t="s">
        <v>84</v>
      </c>
      <c r="E16" t="s">
        <v>85</v>
      </c>
      <c r="F16" t="s">
        <v>86</v>
      </c>
      <c r="G16" t="s">
        <v>87</v>
      </c>
      <c r="H16" t="s">
        <v>86</v>
      </c>
      <c r="J16" s="7">
        <v>2</v>
      </c>
      <c r="K16">
        <v>2</v>
      </c>
      <c r="L16">
        <v>5</v>
      </c>
      <c r="M16">
        <v>5</v>
      </c>
      <c r="N16">
        <v>5</v>
      </c>
      <c r="O16">
        <v>1</v>
      </c>
      <c r="P16">
        <v>1</v>
      </c>
      <c r="Q16">
        <v>1</v>
      </c>
      <c r="R16" s="8">
        <f t="shared" si="0"/>
        <v>6</v>
      </c>
      <c r="T16" s="7">
        <v>7</v>
      </c>
      <c r="U16" s="21">
        <v>7</v>
      </c>
      <c r="V16" s="21">
        <v>3</v>
      </c>
      <c r="W16" s="21">
        <v>7</v>
      </c>
      <c r="X16" s="21">
        <v>3</v>
      </c>
      <c r="Y16" s="21">
        <v>7</v>
      </c>
      <c r="Z16" s="21">
        <v>2</v>
      </c>
      <c r="AA16" s="21">
        <v>2</v>
      </c>
      <c r="AB16" s="21">
        <v>5</v>
      </c>
      <c r="AC16" s="21">
        <v>5</v>
      </c>
      <c r="AD16" s="21">
        <v>1</v>
      </c>
      <c r="AE16" s="21">
        <v>5</v>
      </c>
      <c r="AF16" s="21">
        <v>3</v>
      </c>
      <c r="AG16" s="21">
        <v>4</v>
      </c>
      <c r="AH16" s="8">
        <f t="shared" si="1"/>
        <v>4.35714285714286</v>
      </c>
      <c r="AJ16" s="7">
        <v>5</v>
      </c>
      <c r="AK16" s="21">
        <v>5</v>
      </c>
      <c r="AL16" s="21">
        <v>7</v>
      </c>
      <c r="AM16" s="21">
        <v>5</v>
      </c>
      <c r="AN16" s="21">
        <v>5</v>
      </c>
      <c r="AO16" s="21">
        <v>7</v>
      </c>
      <c r="AP16" s="21">
        <v>7</v>
      </c>
      <c r="AQ16" s="21">
        <v>7</v>
      </c>
      <c r="AR16" s="8">
        <f t="shared" si="2"/>
        <v>6</v>
      </c>
      <c r="AT16" s="7">
        <v>5</v>
      </c>
      <c r="AU16" s="21">
        <v>7</v>
      </c>
      <c r="AV16" s="21">
        <v>2</v>
      </c>
      <c r="AW16" s="21">
        <v>5</v>
      </c>
      <c r="AX16" s="21">
        <v>7</v>
      </c>
      <c r="AY16" s="21">
        <v>7</v>
      </c>
      <c r="AZ16" s="21">
        <v>2</v>
      </c>
      <c r="BA16" s="8">
        <f t="shared" si="3"/>
        <v>6.14285714285714</v>
      </c>
      <c r="BC16" s="7">
        <v>4</v>
      </c>
      <c r="BD16">
        <v>4</v>
      </c>
      <c r="BE16" s="8">
        <f t="shared" si="4"/>
        <v>8</v>
      </c>
      <c r="BF16" s="7">
        <v>5</v>
      </c>
      <c r="BG16" s="21">
        <v>5</v>
      </c>
      <c r="BH16" s="8">
        <f t="shared" si="5"/>
        <v>10</v>
      </c>
      <c r="BI16">
        <f t="shared" si="6"/>
        <v>2</v>
      </c>
    </row>
    <row r="17" spans="1:61">
      <c r="A17" t="s">
        <v>103</v>
      </c>
      <c r="B17">
        <v>16</v>
      </c>
      <c r="C17" t="s">
        <v>91</v>
      </c>
      <c r="D17" t="s">
        <v>84</v>
      </c>
      <c r="E17" t="s">
        <v>85</v>
      </c>
      <c r="F17" t="s">
        <v>86</v>
      </c>
      <c r="G17" t="s">
        <v>87</v>
      </c>
      <c r="H17" t="s">
        <v>86</v>
      </c>
      <c r="J17" s="7">
        <v>3</v>
      </c>
      <c r="K17">
        <v>3</v>
      </c>
      <c r="L17">
        <v>5</v>
      </c>
      <c r="M17">
        <v>5</v>
      </c>
      <c r="N17">
        <v>5</v>
      </c>
      <c r="O17">
        <v>3</v>
      </c>
      <c r="P17">
        <v>3</v>
      </c>
      <c r="Q17">
        <v>3</v>
      </c>
      <c r="R17" s="8">
        <f t="shared" si="0"/>
        <v>5</v>
      </c>
      <c r="T17" s="7">
        <v>6</v>
      </c>
      <c r="U17">
        <v>6</v>
      </c>
      <c r="V17">
        <v>2</v>
      </c>
      <c r="W17">
        <v>2</v>
      </c>
      <c r="X17">
        <v>6</v>
      </c>
      <c r="Y17">
        <v>6</v>
      </c>
      <c r="Z17">
        <v>3</v>
      </c>
      <c r="AA17">
        <v>2</v>
      </c>
      <c r="AB17">
        <v>3</v>
      </c>
      <c r="AC17">
        <v>6</v>
      </c>
      <c r="AD17">
        <v>6</v>
      </c>
      <c r="AE17">
        <v>6</v>
      </c>
      <c r="AF17">
        <v>6</v>
      </c>
      <c r="AG17">
        <v>4</v>
      </c>
      <c r="AH17" s="8">
        <f t="shared" si="1"/>
        <v>5</v>
      </c>
      <c r="AJ17" s="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 s="8">
        <f t="shared" si="2"/>
        <v>5</v>
      </c>
      <c r="AT17" s="7">
        <v>5</v>
      </c>
      <c r="AU17">
        <v>5</v>
      </c>
      <c r="AV17">
        <v>3</v>
      </c>
      <c r="AW17">
        <v>5</v>
      </c>
      <c r="AX17">
        <v>5</v>
      </c>
      <c r="AY17">
        <v>5</v>
      </c>
      <c r="AZ17">
        <v>3</v>
      </c>
      <c r="BA17" s="8">
        <f t="shared" si="3"/>
        <v>5</v>
      </c>
      <c r="BC17" s="7">
        <v>4</v>
      </c>
      <c r="BD17">
        <v>2</v>
      </c>
      <c r="BE17" s="8">
        <f t="shared" si="4"/>
        <v>6</v>
      </c>
      <c r="BF17" s="7">
        <v>1</v>
      </c>
      <c r="BG17">
        <v>3</v>
      </c>
      <c r="BH17" s="8">
        <f t="shared" si="5"/>
        <v>4</v>
      </c>
      <c r="BI17">
        <f t="shared" si="6"/>
        <v>-2</v>
      </c>
    </row>
    <row r="18" spans="1:61">
      <c r="A18" t="s">
        <v>104</v>
      </c>
      <c r="B18">
        <v>16</v>
      </c>
      <c r="C18" t="s">
        <v>91</v>
      </c>
      <c r="D18" t="s">
        <v>84</v>
      </c>
      <c r="E18" t="s">
        <v>85</v>
      </c>
      <c r="F18" t="s">
        <v>86</v>
      </c>
      <c r="G18" t="s">
        <v>87</v>
      </c>
      <c r="H18" t="s">
        <v>86</v>
      </c>
      <c r="J18" s="7">
        <v>2</v>
      </c>
      <c r="K18">
        <v>2</v>
      </c>
      <c r="L18">
        <v>2</v>
      </c>
      <c r="M18">
        <v>4</v>
      </c>
      <c r="N18">
        <v>6</v>
      </c>
      <c r="O18">
        <v>2</v>
      </c>
      <c r="P18">
        <v>2</v>
      </c>
      <c r="Q18">
        <v>2</v>
      </c>
      <c r="R18" s="8">
        <f t="shared" si="0"/>
        <v>5.25</v>
      </c>
      <c r="T18" s="7">
        <v>7</v>
      </c>
      <c r="U18">
        <v>4</v>
      </c>
      <c r="V18">
        <v>4</v>
      </c>
      <c r="W18">
        <v>4</v>
      </c>
      <c r="X18">
        <v>4</v>
      </c>
      <c r="Y18">
        <v>4</v>
      </c>
      <c r="Z18">
        <v>7</v>
      </c>
      <c r="AA18">
        <v>4</v>
      </c>
      <c r="AB18">
        <v>4</v>
      </c>
      <c r="AC18">
        <v>6</v>
      </c>
      <c r="AD18">
        <v>4</v>
      </c>
      <c r="AE18">
        <v>4</v>
      </c>
      <c r="AF18">
        <v>6</v>
      </c>
      <c r="AG18">
        <v>4</v>
      </c>
      <c r="AH18" s="8">
        <f t="shared" si="1"/>
        <v>4.71428571428571</v>
      </c>
      <c r="AJ18" s="7">
        <v>4</v>
      </c>
      <c r="AK18">
        <v>5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 s="8">
        <f t="shared" si="2"/>
        <v>5.625</v>
      </c>
      <c r="AT18" s="7">
        <v>6</v>
      </c>
      <c r="AU18">
        <v>5</v>
      </c>
      <c r="AV18">
        <v>5</v>
      </c>
      <c r="AW18">
        <v>6</v>
      </c>
      <c r="AX18">
        <v>7</v>
      </c>
      <c r="AY18">
        <v>7</v>
      </c>
      <c r="AZ18">
        <v>2</v>
      </c>
      <c r="BA18" s="8">
        <f t="shared" si="3"/>
        <v>5.71428571428571</v>
      </c>
      <c r="BC18" s="7">
        <v>5</v>
      </c>
      <c r="BD18">
        <v>2</v>
      </c>
      <c r="BE18" s="8">
        <f t="shared" si="4"/>
        <v>7</v>
      </c>
      <c r="BF18" s="7">
        <v>5</v>
      </c>
      <c r="BG18">
        <v>3</v>
      </c>
      <c r="BH18" s="8">
        <f t="shared" si="5"/>
        <v>8</v>
      </c>
      <c r="BI18">
        <f t="shared" si="6"/>
        <v>1</v>
      </c>
    </row>
    <row r="19" s="4" customFormat="1" spans="1:61">
      <c r="A19" s="4" t="s">
        <v>105</v>
      </c>
      <c r="B19" s="4">
        <v>16</v>
      </c>
      <c r="C19" s="4" t="s">
        <v>83</v>
      </c>
      <c r="D19" s="4" t="s">
        <v>89</v>
      </c>
      <c r="E19" s="4" t="s">
        <v>85</v>
      </c>
      <c r="F19" s="4" t="s">
        <v>86</v>
      </c>
      <c r="G19" s="4" t="s">
        <v>87</v>
      </c>
      <c r="H19" s="4" t="s">
        <v>86</v>
      </c>
      <c r="J19" s="19">
        <v>4</v>
      </c>
      <c r="K19" s="4">
        <v>2</v>
      </c>
      <c r="L19" s="4">
        <v>6</v>
      </c>
      <c r="M19" s="4">
        <v>7</v>
      </c>
      <c r="N19" s="4">
        <v>7</v>
      </c>
      <c r="O19" s="4">
        <v>2</v>
      </c>
      <c r="P19" s="4">
        <v>1</v>
      </c>
      <c r="Q19" s="4">
        <v>1</v>
      </c>
      <c r="R19" s="8">
        <f t="shared" si="0"/>
        <v>6.25</v>
      </c>
      <c r="T19" s="19">
        <v>7</v>
      </c>
      <c r="U19" s="4">
        <v>5</v>
      </c>
      <c r="V19" s="4">
        <v>3</v>
      </c>
      <c r="W19" s="4">
        <v>7</v>
      </c>
      <c r="X19" s="4">
        <v>7</v>
      </c>
      <c r="Y19" s="4">
        <v>7</v>
      </c>
      <c r="Z19" s="4">
        <v>1</v>
      </c>
      <c r="AA19" s="4">
        <v>1</v>
      </c>
      <c r="AB19" s="4">
        <v>7</v>
      </c>
      <c r="AC19" s="4">
        <v>3</v>
      </c>
      <c r="AD19" s="4">
        <v>1</v>
      </c>
      <c r="AE19" s="4">
        <v>6</v>
      </c>
      <c r="AF19" s="4">
        <v>5</v>
      </c>
      <c r="AG19" s="4">
        <v>3</v>
      </c>
      <c r="AH19" s="8">
        <f t="shared" si="1"/>
        <v>4.21428571428571</v>
      </c>
      <c r="AJ19" s="19">
        <v>7</v>
      </c>
      <c r="AK19" s="4">
        <v>5</v>
      </c>
      <c r="AL19" s="4">
        <v>7</v>
      </c>
      <c r="AM19" s="4">
        <v>5</v>
      </c>
      <c r="AN19" s="4">
        <v>7</v>
      </c>
      <c r="AO19" s="4">
        <v>7</v>
      </c>
      <c r="AP19" s="4">
        <v>7</v>
      </c>
      <c r="AQ19" s="4">
        <v>7</v>
      </c>
      <c r="AR19" s="8">
        <f t="shared" si="2"/>
        <v>6.5</v>
      </c>
      <c r="AT19" s="19">
        <v>7</v>
      </c>
      <c r="AU19" s="22">
        <v>7</v>
      </c>
      <c r="AV19" s="4">
        <v>5</v>
      </c>
      <c r="AW19" s="4">
        <v>7</v>
      </c>
      <c r="AX19" s="4">
        <v>7</v>
      </c>
      <c r="AY19" s="4">
        <v>7</v>
      </c>
      <c r="AZ19" s="4">
        <v>1</v>
      </c>
      <c r="BA19" s="8">
        <f t="shared" si="3"/>
        <v>6.42857142857143</v>
      </c>
      <c r="BC19" s="19">
        <v>5</v>
      </c>
      <c r="BD19" s="4">
        <v>5</v>
      </c>
      <c r="BE19" s="8">
        <f t="shared" si="4"/>
        <v>10</v>
      </c>
      <c r="BF19" s="19">
        <v>5</v>
      </c>
      <c r="BG19" s="4">
        <v>5</v>
      </c>
      <c r="BH19" s="8">
        <f t="shared" si="5"/>
        <v>10</v>
      </c>
      <c r="BI19">
        <f t="shared" si="6"/>
        <v>0</v>
      </c>
    </row>
    <row r="20" s="4" customFormat="1" spans="1:61">
      <c r="A20" s="4" t="s">
        <v>106</v>
      </c>
      <c r="B20" s="4">
        <v>16</v>
      </c>
      <c r="C20" s="4" t="s">
        <v>91</v>
      </c>
      <c r="D20" s="4" t="s">
        <v>89</v>
      </c>
      <c r="E20" s="4" t="s">
        <v>85</v>
      </c>
      <c r="F20" s="4" t="s">
        <v>87</v>
      </c>
      <c r="G20" s="4" t="s">
        <v>87</v>
      </c>
      <c r="H20" s="4" t="s">
        <v>86</v>
      </c>
      <c r="J20" s="19">
        <v>5</v>
      </c>
      <c r="K20" s="4">
        <v>3</v>
      </c>
      <c r="L20" s="4">
        <v>5</v>
      </c>
      <c r="M20" s="4">
        <v>5</v>
      </c>
      <c r="N20" s="4">
        <v>6</v>
      </c>
      <c r="O20" s="4">
        <v>2</v>
      </c>
      <c r="P20" s="4">
        <v>2</v>
      </c>
      <c r="Q20" s="4">
        <v>2</v>
      </c>
      <c r="R20" s="8">
        <f t="shared" si="0"/>
        <v>5.25</v>
      </c>
      <c r="T20" s="19">
        <v>6</v>
      </c>
      <c r="U20" s="4">
        <v>5</v>
      </c>
      <c r="V20" s="4">
        <v>3</v>
      </c>
      <c r="W20" s="4">
        <v>1</v>
      </c>
      <c r="X20" s="4">
        <v>4</v>
      </c>
      <c r="Y20" s="4">
        <v>5</v>
      </c>
      <c r="Z20" s="4">
        <v>3</v>
      </c>
      <c r="AA20" s="4">
        <v>2</v>
      </c>
      <c r="AB20" s="4">
        <v>3</v>
      </c>
      <c r="AC20" s="4">
        <v>3</v>
      </c>
      <c r="AD20" s="4">
        <v>6</v>
      </c>
      <c r="AE20" s="4">
        <v>5</v>
      </c>
      <c r="AF20" s="4">
        <v>5</v>
      </c>
      <c r="AG20" s="4">
        <v>2</v>
      </c>
      <c r="AH20" s="8">
        <f t="shared" si="1"/>
        <v>4.21428571428571</v>
      </c>
      <c r="AJ20" s="19">
        <v>5</v>
      </c>
      <c r="AK20" s="4">
        <v>5</v>
      </c>
      <c r="AL20" s="4">
        <v>4</v>
      </c>
      <c r="AM20" s="4">
        <v>5</v>
      </c>
      <c r="AN20" s="4">
        <v>6</v>
      </c>
      <c r="AO20" s="4">
        <v>6</v>
      </c>
      <c r="AP20" s="4">
        <v>6</v>
      </c>
      <c r="AQ20" s="4">
        <v>6</v>
      </c>
      <c r="AR20" s="8">
        <f t="shared" si="2"/>
        <v>5.375</v>
      </c>
      <c r="AT20" s="19">
        <v>5</v>
      </c>
      <c r="AU20" s="4">
        <v>5</v>
      </c>
      <c r="AV20" s="4">
        <v>6</v>
      </c>
      <c r="AW20" s="4">
        <v>5</v>
      </c>
      <c r="AX20" s="4">
        <v>5</v>
      </c>
      <c r="AY20" s="4">
        <v>5</v>
      </c>
      <c r="AZ20" s="4">
        <v>1</v>
      </c>
      <c r="BA20" s="8">
        <f t="shared" si="3"/>
        <v>4.85714285714286</v>
      </c>
      <c r="BC20" s="19">
        <v>2</v>
      </c>
      <c r="BD20" s="4">
        <v>3</v>
      </c>
      <c r="BE20" s="8">
        <f t="shared" si="4"/>
        <v>5</v>
      </c>
      <c r="BF20" s="19">
        <v>2</v>
      </c>
      <c r="BG20" s="4">
        <v>3</v>
      </c>
      <c r="BH20" s="8">
        <f t="shared" si="5"/>
        <v>5</v>
      </c>
      <c r="BI20">
        <f t="shared" si="6"/>
        <v>0</v>
      </c>
    </row>
    <row r="21" s="4" customFormat="1" spans="1:61">
      <c r="A21" s="4" t="s">
        <v>107</v>
      </c>
      <c r="B21" s="4">
        <v>16</v>
      </c>
      <c r="C21" s="4" t="s">
        <v>91</v>
      </c>
      <c r="D21" s="4" t="s">
        <v>89</v>
      </c>
      <c r="E21" s="4" t="s">
        <v>108</v>
      </c>
      <c r="F21" s="4" t="s">
        <v>86</v>
      </c>
      <c r="G21" s="4" t="s">
        <v>86</v>
      </c>
      <c r="H21" s="4" t="s">
        <v>86</v>
      </c>
      <c r="J21" s="19">
        <v>3</v>
      </c>
      <c r="K21" s="4">
        <v>3</v>
      </c>
      <c r="L21" s="4">
        <v>7</v>
      </c>
      <c r="M21" s="4">
        <v>7</v>
      </c>
      <c r="N21" s="4">
        <v>7</v>
      </c>
      <c r="O21" s="4">
        <v>1</v>
      </c>
      <c r="P21" s="4">
        <v>1</v>
      </c>
      <c r="Q21" s="4">
        <v>1</v>
      </c>
      <c r="R21" s="8">
        <f t="shared" si="0"/>
        <v>6.5</v>
      </c>
      <c r="T21" s="19">
        <v>7</v>
      </c>
      <c r="U21" s="4">
        <v>7</v>
      </c>
      <c r="V21" s="4">
        <v>2</v>
      </c>
      <c r="W21" s="4">
        <v>2</v>
      </c>
      <c r="X21" s="4">
        <v>7</v>
      </c>
      <c r="Y21" s="4">
        <v>7</v>
      </c>
      <c r="Z21" s="4">
        <v>5</v>
      </c>
      <c r="AA21" s="4">
        <v>2</v>
      </c>
      <c r="AB21" s="4">
        <v>3</v>
      </c>
      <c r="AC21" s="4">
        <v>7</v>
      </c>
      <c r="AD21" s="4">
        <v>1</v>
      </c>
      <c r="AE21" s="4">
        <v>4</v>
      </c>
      <c r="AF21" s="4">
        <v>5</v>
      </c>
      <c r="AG21" s="4">
        <v>1</v>
      </c>
      <c r="AH21" s="8">
        <f t="shared" si="1"/>
        <v>5.42857142857143</v>
      </c>
      <c r="AJ21" s="19">
        <v>3</v>
      </c>
      <c r="AK21" s="4">
        <v>3</v>
      </c>
      <c r="AL21" s="4">
        <v>7</v>
      </c>
      <c r="AM21" s="4">
        <v>6</v>
      </c>
      <c r="AN21" s="4">
        <v>6</v>
      </c>
      <c r="AO21" s="4">
        <v>6</v>
      </c>
      <c r="AP21" s="4">
        <v>6</v>
      </c>
      <c r="AQ21" s="4">
        <v>6</v>
      </c>
      <c r="AR21" s="8">
        <f t="shared" si="2"/>
        <v>5.375</v>
      </c>
      <c r="AT21" s="19">
        <v>6</v>
      </c>
      <c r="AU21" s="4">
        <v>7</v>
      </c>
      <c r="AV21" s="4">
        <v>7</v>
      </c>
      <c r="AW21" s="4">
        <v>7</v>
      </c>
      <c r="AX21" s="4">
        <v>7</v>
      </c>
      <c r="AY21" s="4">
        <v>6</v>
      </c>
      <c r="AZ21" s="4">
        <v>1</v>
      </c>
      <c r="BA21" s="8">
        <f t="shared" si="3"/>
        <v>5.85714285714286</v>
      </c>
      <c r="BC21" s="19">
        <v>3</v>
      </c>
      <c r="BD21" s="4">
        <v>1</v>
      </c>
      <c r="BE21" s="8">
        <f t="shared" si="4"/>
        <v>4</v>
      </c>
      <c r="BF21" s="19">
        <v>5</v>
      </c>
      <c r="BG21" s="4">
        <v>4</v>
      </c>
      <c r="BH21" s="8">
        <f t="shared" si="5"/>
        <v>9</v>
      </c>
      <c r="BI21">
        <f t="shared" si="6"/>
        <v>5</v>
      </c>
    </row>
    <row r="22" s="4" customFormat="1" spans="1:61">
      <c r="A22" s="4" t="s">
        <v>109</v>
      </c>
      <c r="B22" s="4">
        <v>16</v>
      </c>
      <c r="C22" s="4" t="s">
        <v>83</v>
      </c>
      <c r="D22" s="4" t="s">
        <v>89</v>
      </c>
      <c r="E22" s="4" t="s">
        <v>85</v>
      </c>
      <c r="F22" s="4" t="s">
        <v>86</v>
      </c>
      <c r="G22" s="4" t="s">
        <v>86</v>
      </c>
      <c r="H22" s="4" t="s">
        <v>86</v>
      </c>
      <c r="J22" s="19">
        <v>3</v>
      </c>
      <c r="K22" s="4">
        <v>3</v>
      </c>
      <c r="L22" s="4">
        <v>7</v>
      </c>
      <c r="M22" s="4">
        <v>7</v>
      </c>
      <c r="N22" s="4">
        <v>7</v>
      </c>
      <c r="O22" s="4">
        <v>7</v>
      </c>
      <c r="P22" s="4">
        <v>1</v>
      </c>
      <c r="Q22" s="4">
        <v>2</v>
      </c>
      <c r="R22" s="8">
        <f t="shared" si="0"/>
        <v>5.625</v>
      </c>
      <c r="T22" s="19">
        <v>7</v>
      </c>
      <c r="U22" s="4">
        <v>7</v>
      </c>
      <c r="V22" s="4">
        <v>1</v>
      </c>
      <c r="W22" s="4">
        <v>4</v>
      </c>
      <c r="X22" s="4">
        <v>4</v>
      </c>
      <c r="Y22" s="4">
        <v>6</v>
      </c>
      <c r="Z22" s="4">
        <v>6</v>
      </c>
      <c r="AA22" s="4">
        <v>2</v>
      </c>
      <c r="AB22" s="4">
        <v>6</v>
      </c>
      <c r="AC22" s="4">
        <v>5</v>
      </c>
      <c r="AD22" s="4">
        <v>5</v>
      </c>
      <c r="AE22" s="4">
        <v>4</v>
      </c>
      <c r="AF22" s="4">
        <v>5</v>
      </c>
      <c r="AG22" s="4">
        <v>3</v>
      </c>
      <c r="AH22" s="8">
        <f t="shared" si="1"/>
        <v>4.64285714285714</v>
      </c>
      <c r="AJ22" s="19">
        <v>1</v>
      </c>
      <c r="AK22" s="4">
        <v>1</v>
      </c>
      <c r="AL22" s="4">
        <v>2</v>
      </c>
      <c r="AM22" s="4">
        <v>1</v>
      </c>
      <c r="AN22" s="4">
        <v>7</v>
      </c>
      <c r="AO22" s="4">
        <v>7</v>
      </c>
      <c r="AP22" s="4">
        <v>7</v>
      </c>
      <c r="AQ22" s="4">
        <v>7</v>
      </c>
      <c r="AR22" s="8">
        <f t="shared" si="2"/>
        <v>4.125</v>
      </c>
      <c r="AT22" s="19">
        <v>7</v>
      </c>
      <c r="AU22" s="4">
        <v>7</v>
      </c>
      <c r="AV22" s="4">
        <v>7</v>
      </c>
      <c r="AW22" s="4">
        <v>7</v>
      </c>
      <c r="AX22" s="4">
        <v>7</v>
      </c>
      <c r="AY22" s="4">
        <v>7</v>
      </c>
      <c r="AZ22" s="4">
        <v>1</v>
      </c>
      <c r="BA22" s="8">
        <f t="shared" si="3"/>
        <v>6.14285714285714</v>
      </c>
      <c r="BC22" s="19">
        <v>3</v>
      </c>
      <c r="BD22" s="4">
        <v>0</v>
      </c>
      <c r="BE22" s="8">
        <f t="shared" si="4"/>
        <v>3</v>
      </c>
      <c r="BF22" s="19">
        <v>5</v>
      </c>
      <c r="BG22" s="4">
        <v>4</v>
      </c>
      <c r="BH22" s="8">
        <f t="shared" si="5"/>
        <v>9</v>
      </c>
      <c r="BI22">
        <f t="shared" si="6"/>
        <v>6</v>
      </c>
    </row>
    <row r="23" s="4" customFormat="1" spans="1:61">
      <c r="A23" s="4" t="s">
        <v>110</v>
      </c>
      <c r="B23" s="4">
        <v>17</v>
      </c>
      <c r="C23" s="4" t="s">
        <v>91</v>
      </c>
      <c r="D23" s="4" t="s">
        <v>89</v>
      </c>
      <c r="E23" s="4" t="s">
        <v>85</v>
      </c>
      <c r="F23" s="4" t="s">
        <v>87</v>
      </c>
      <c r="G23" s="4" t="s">
        <v>87</v>
      </c>
      <c r="H23" s="4" t="s">
        <v>87</v>
      </c>
      <c r="J23" s="19">
        <v>3</v>
      </c>
      <c r="K23" s="4">
        <v>2</v>
      </c>
      <c r="L23" s="4">
        <v>7</v>
      </c>
      <c r="M23" s="4">
        <v>2</v>
      </c>
      <c r="N23" s="4">
        <v>7</v>
      </c>
      <c r="O23" s="4">
        <v>1</v>
      </c>
      <c r="P23" s="4">
        <v>1</v>
      </c>
      <c r="Q23" s="4">
        <v>1</v>
      </c>
      <c r="R23" s="8">
        <f t="shared" si="0"/>
        <v>6</v>
      </c>
      <c r="T23" s="19">
        <v>7</v>
      </c>
      <c r="U23" s="4">
        <v>7</v>
      </c>
      <c r="V23" s="4">
        <v>2</v>
      </c>
      <c r="W23" s="4">
        <v>1</v>
      </c>
      <c r="X23" s="4">
        <v>6</v>
      </c>
      <c r="Y23" s="4">
        <v>4</v>
      </c>
      <c r="Z23" s="4">
        <v>2</v>
      </c>
      <c r="AA23" s="4">
        <v>1</v>
      </c>
      <c r="AB23" s="4">
        <v>6</v>
      </c>
      <c r="AC23" s="4">
        <v>1</v>
      </c>
      <c r="AD23" s="4">
        <v>4</v>
      </c>
      <c r="AE23" s="4">
        <v>4</v>
      </c>
      <c r="AF23" s="4">
        <v>4</v>
      </c>
      <c r="AG23" s="4">
        <v>1</v>
      </c>
      <c r="AH23" s="8">
        <f t="shared" si="1"/>
        <v>4</v>
      </c>
      <c r="AJ23" s="19">
        <v>4</v>
      </c>
      <c r="AK23" s="4">
        <v>4</v>
      </c>
      <c r="AL23" s="4">
        <v>4</v>
      </c>
      <c r="AM23" s="4">
        <v>2</v>
      </c>
      <c r="AN23" s="4">
        <v>1</v>
      </c>
      <c r="AO23" s="4">
        <v>5</v>
      </c>
      <c r="AP23" s="4">
        <v>5</v>
      </c>
      <c r="AQ23" s="4">
        <v>3</v>
      </c>
      <c r="AR23" s="8">
        <f t="shared" si="2"/>
        <v>3.5</v>
      </c>
      <c r="AT23" s="19">
        <v>4</v>
      </c>
      <c r="AU23" s="4">
        <v>4</v>
      </c>
      <c r="AV23" s="4">
        <v>4</v>
      </c>
      <c r="AW23" s="4">
        <v>4</v>
      </c>
      <c r="AX23" s="4">
        <v>7</v>
      </c>
      <c r="AY23" s="4">
        <v>7</v>
      </c>
      <c r="AZ23" s="4">
        <v>1</v>
      </c>
      <c r="BA23" s="8">
        <f t="shared" si="3"/>
        <v>5.28571428571429</v>
      </c>
      <c r="BC23" s="19">
        <v>3</v>
      </c>
      <c r="BD23" s="4">
        <v>5</v>
      </c>
      <c r="BE23" s="8">
        <f t="shared" si="4"/>
        <v>8</v>
      </c>
      <c r="BF23" s="19">
        <v>4</v>
      </c>
      <c r="BG23" s="4">
        <v>5</v>
      </c>
      <c r="BH23" s="8">
        <f t="shared" si="5"/>
        <v>9</v>
      </c>
      <c r="BI23">
        <f t="shared" si="6"/>
        <v>1</v>
      </c>
    </row>
    <row r="24" s="4" customFormat="1" spans="1:61">
      <c r="A24" s="4" t="s">
        <v>111</v>
      </c>
      <c r="B24" s="4">
        <v>16</v>
      </c>
      <c r="C24" s="4" t="s">
        <v>91</v>
      </c>
      <c r="D24" s="4" t="s">
        <v>89</v>
      </c>
      <c r="E24" s="4" t="s">
        <v>85</v>
      </c>
      <c r="F24" s="4" t="s">
        <v>86</v>
      </c>
      <c r="G24" s="4" t="s">
        <v>87</v>
      </c>
      <c r="H24" s="4" t="s">
        <v>86</v>
      </c>
      <c r="J24" s="19">
        <v>5</v>
      </c>
      <c r="K24" s="4">
        <v>5</v>
      </c>
      <c r="L24" s="4">
        <v>6</v>
      </c>
      <c r="M24" s="4">
        <v>7</v>
      </c>
      <c r="N24" s="4">
        <v>7</v>
      </c>
      <c r="O24" s="4">
        <v>2</v>
      </c>
      <c r="P24" s="4">
        <v>1</v>
      </c>
      <c r="Q24" s="4">
        <v>2</v>
      </c>
      <c r="R24" s="8">
        <f t="shared" si="0"/>
        <v>5.625</v>
      </c>
      <c r="T24" s="19">
        <v>7</v>
      </c>
      <c r="U24" s="4">
        <v>7</v>
      </c>
      <c r="V24" s="4">
        <v>3</v>
      </c>
      <c r="W24" s="4">
        <v>3</v>
      </c>
      <c r="X24" s="4">
        <v>3</v>
      </c>
      <c r="Y24" s="4">
        <v>6</v>
      </c>
      <c r="Z24" s="4">
        <v>5</v>
      </c>
      <c r="AA24" s="4">
        <v>3</v>
      </c>
      <c r="AB24" s="4">
        <v>3</v>
      </c>
      <c r="AC24" s="4">
        <v>6</v>
      </c>
      <c r="AD24" s="4">
        <v>6</v>
      </c>
      <c r="AE24" s="4">
        <v>6</v>
      </c>
      <c r="AF24" s="4">
        <v>6</v>
      </c>
      <c r="AG24" s="4">
        <v>3</v>
      </c>
      <c r="AH24" s="8">
        <f t="shared" si="1"/>
        <v>4.92857142857143</v>
      </c>
      <c r="AJ24" s="19">
        <v>6</v>
      </c>
      <c r="AK24" s="4">
        <v>6</v>
      </c>
      <c r="AL24" s="4">
        <v>6</v>
      </c>
      <c r="AM24" s="4">
        <v>6</v>
      </c>
      <c r="AN24" s="4">
        <v>4</v>
      </c>
      <c r="AO24" s="4">
        <v>5</v>
      </c>
      <c r="AP24" s="4">
        <v>5</v>
      </c>
      <c r="AQ24" s="4">
        <v>4</v>
      </c>
      <c r="AR24" s="8">
        <f t="shared" si="2"/>
        <v>5.25</v>
      </c>
      <c r="AT24" s="19">
        <v>3</v>
      </c>
      <c r="AU24" s="4">
        <v>3</v>
      </c>
      <c r="AV24" s="4">
        <v>3</v>
      </c>
      <c r="AW24" s="4">
        <v>5</v>
      </c>
      <c r="AX24" s="4">
        <v>6</v>
      </c>
      <c r="AY24" s="4">
        <v>6</v>
      </c>
      <c r="AZ24" s="4">
        <v>2</v>
      </c>
      <c r="BA24" s="8">
        <f t="shared" si="3"/>
        <v>4.85714285714286</v>
      </c>
      <c r="BC24" s="19">
        <v>3</v>
      </c>
      <c r="BD24" s="4">
        <v>4</v>
      </c>
      <c r="BE24" s="8">
        <f t="shared" si="4"/>
        <v>7</v>
      </c>
      <c r="BF24" s="19">
        <v>5</v>
      </c>
      <c r="BG24" s="4">
        <v>5</v>
      </c>
      <c r="BH24" s="8">
        <f t="shared" si="5"/>
        <v>10</v>
      </c>
      <c r="BI24">
        <f t="shared" si="6"/>
        <v>3</v>
      </c>
    </row>
    <row r="25" s="4" customFormat="1" spans="1:61">
      <c r="A25" s="4" t="s">
        <v>112</v>
      </c>
      <c r="B25" s="4">
        <v>16</v>
      </c>
      <c r="C25" s="4" t="s">
        <v>91</v>
      </c>
      <c r="D25" s="4" t="s">
        <v>89</v>
      </c>
      <c r="E25" s="4" t="s">
        <v>85</v>
      </c>
      <c r="F25" s="4" t="s">
        <v>86</v>
      </c>
      <c r="G25" s="4" t="s">
        <v>86</v>
      </c>
      <c r="H25" s="4" t="s">
        <v>86</v>
      </c>
      <c r="J25" s="19">
        <v>5</v>
      </c>
      <c r="K25" s="4">
        <v>4</v>
      </c>
      <c r="L25" s="4">
        <v>6</v>
      </c>
      <c r="M25" s="4">
        <v>5</v>
      </c>
      <c r="N25" s="4">
        <v>7</v>
      </c>
      <c r="O25" s="4">
        <v>2</v>
      </c>
      <c r="P25" s="4">
        <v>2</v>
      </c>
      <c r="Q25" s="4">
        <v>2</v>
      </c>
      <c r="R25" s="8">
        <f t="shared" si="0"/>
        <v>5.375</v>
      </c>
      <c r="T25" s="19">
        <v>7</v>
      </c>
      <c r="U25" s="4">
        <v>7</v>
      </c>
      <c r="V25" s="4">
        <v>2</v>
      </c>
      <c r="W25" s="4">
        <v>2</v>
      </c>
      <c r="X25" s="4">
        <v>6</v>
      </c>
      <c r="Y25" s="4">
        <v>6</v>
      </c>
      <c r="Z25" s="4">
        <v>5</v>
      </c>
      <c r="AA25" s="4">
        <v>7</v>
      </c>
      <c r="AB25" s="4">
        <v>2</v>
      </c>
      <c r="AC25" s="4">
        <v>7</v>
      </c>
      <c r="AD25" s="4">
        <v>1</v>
      </c>
      <c r="AE25" s="4">
        <v>6</v>
      </c>
      <c r="AF25" s="4">
        <v>5</v>
      </c>
      <c r="AG25" s="4">
        <v>2</v>
      </c>
      <c r="AH25" s="8">
        <f t="shared" si="1"/>
        <v>5.92857142857143</v>
      </c>
      <c r="AJ25" s="19">
        <v>6</v>
      </c>
      <c r="AK25" s="4">
        <v>6</v>
      </c>
      <c r="AL25" s="4">
        <v>6</v>
      </c>
      <c r="AM25" s="4">
        <v>4</v>
      </c>
      <c r="AN25" s="4">
        <v>6</v>
      </c>
      <c r="AO25" s="4">
        <v>6</v>
      </c>
      <c r="AP25" s="4">
        <v>6</v>
      </c>
      <c r="AQ25" s="4">
        <v>6</v>
      </c>
      <c r="AR25" s="8">
        <f t="shared" si="2"/>
        <v>5.75</v>
      </c>
      <c r="AT25" s="19">
        <v>6</v>
      </c>
      <c r="AU25" s="4">
        <v>6</v>
      </c>
      <c r="AV25" s="4">
        <v>6</v>
      </c>
      <c r="AW25" s="4">
        <v>6</v>
      </c>
      <c r="AX25" s="4">
        <v>6</v>
      </c>
      <c r="AY25" s="4">
        <v>5</v>
      </c>
      <c r="AZ25" s="4">
        <v>2</v>
      </c>
      <c r="BA25" s="8">
        <f t="shared" si="3"/>
        <v>5.28571428571429</v>
      </c>
      <c r="BC25" s="19">
        <v>4</v>
      </c>
      <c r="BD25" s="4">
        <v>3</v>
      </c>
      <c r="BE25" s="8">
        <f t="shared" si="4"/>
        <v>7</v>
      </c>
      <c r="BF25" s="19">
        <v>4</v>
      </c>
      <c r="BG25" s="4">
        <v>4</v>
      </c>
      <c r="BH25" s="8">
        <f t="shared" si="5"/>
        <v>8</v>
      </c>
      <c r="BI25">
        <f t="shared" si="6"/>
        <v>1</v>
      </c>
    </row>
    <row r="26" s="4" customFormat="1" spans="1:61">
      <c r="A26" s="4" t="s">
        <v>113</v>
      </c>
      <c r="B26" s="4">
        <v>16</v>
      </c>
      <c r="C26" s="4" t="s">
        <v>91</v>
      </c>
      <c r="D26" s="4" t="s">
        <v>89</v>
      </c>
      <c r="E26" s="4" t="s">
        <v>85</v>
      </c>
      <c r="F26" s="4" t="s">
        <v>86</v>
      </c>
      <c r="G26" s="4" t="s">
        <v>87</v>
      </c>
      <c r="H26" s="4" t="s">
        <v>86</v>
      </c>
      <c r="J26" s="19">
        <v>5</v>
      </c>
      <c r="K26" s="4">
        <v>3</v>
      </c>
      <c r="L26" s="4">
        <v>5</v>
      </c>
      <c r="M26" s="4">
        <v>5</v>
      </c>
      <c r="N26" s="4">
        <v>5</v>
      </c>
      <c r="O26" s="4">
        <v>3</v>
      </c>
      <c r="P26" s="4">
        <v>2</v>
      </c>
      <c r="Q26" s="4">
        <v>2</v>
      </c>
      <c r="R26" s="8">
        <f t="shared" si="0"/>
        <v>5</v>
      </c>
      <c r="T26" s="19">
        <v>1</v>
      </c>
      <c r="U26" s="4">
        <v>2</v>
      </c>
      <c r="V26" s="4">
        <v>2</v>
      </c>
      <c r="W26" s="4">
        <v>6</v>
      </c>
      <c r="X26" s="4">
        <v>1</v>
      </c>
      <c r="Y26" s="4">
        <v>1</v>
      </c>
      <c r="Z26" s="4">
        <v>3</v>
      </c>
      <c r="AA26" s="4">
        <v>2</v>
      </c>
      <c r="AB26" s="4">
        <v>5</v>
      </c>
      <c r="AC26" s="4">
        <v>1</v>
      </c>
      <c r="AD26" s="4">
        <v>7</v>
      </c>
      <c r="AE26" s="4">
        <v>1</v>
      </c>
      <c r="AF26" s="4">
        <v>1</v>
      </c>
      <c r="AG26" s="4">
        <v>1</v>
      </c>
      <c r="AH26" s="8">
        <f t="shared" si="1"/>
        <v>1.85714285714286</v>
      </c>
      <c r="AJ26" s="19">
        <v>2</v>
      </c>
      <c r="AK26" s="4">
        <v>4</v>
      </c>
      <c r="AL26" s="4">
        <v>3</v>
      </c>
      <c r="AM26" s="4">
        <v>2</v>
      </c>
      <c r="AN26" s="4">
        <v>2</v>
      </c>
      <c r="AO26" s="4">
        <v>2</v>
      </c>
      <c r="AP26" s="4">
        <v>2</v>
      </c>
      <c r="AQ26" s="4">
        <v>5</v>
      </c>
      <c r="AR26" s="8">
        <f t="shared" si="2"/>
        <v>2.75</v>
      </c>
      <c r="AT26" s="19">
        <v>2</v>
      </c>
      <c r="AU26" s="4">
        <v>2</v>
      </c>
      <c r="AV26" s="4">
        <v>7</v>
      </c>
      <c r="AW26" s="4">
        <v>1</v>
      </c>
      <c r="AX26" s="4">
        <v>5</v>
      </c>
      <c r="AY26" s="4">
        <v>4</v>
      </c>
      <c r="AZ26" s="4">
        <v>5</v>
      </c>
      <c r="BA26" s="8">
        <f t="shared" si="3"/>
        <v>2.57142857142857</v>
      </c>
      <c r="BC26" s="19">
        <v>5</v>
      </c>
      <c r="BD26" s="4">
        <v>3</v>
      </c>
      <c r="BE26" s="8">
        <f t="shared" si="4"/>
        <v>8</v>
      </c>
      <c r="BF26" s="19">
        <v>5</v>
      </c>
      <c r="BG26" s="4">
        <v>2</v>
      </c>
      <c r="BH26" s="8">
        <f t="shared" si="5"/>
        <v>7</v>
      </c>
      <c r="BI26">
        <f t="shared" si="6"/>
        <v>-1</v>
      </c>
    </row>
    <row r="27" s="4" customFormat="1" spans="1:61">
      <c r="A27" s="4" t="s">
        <v>114</v>
      </c>
      <c r="B27" s="4">
        <v>17</v>
      </c>
      <c r="C27" s="4" t="s">
        <v>83</v>
      </c>
      <c r="D27" s="4" t="s">
        <v>89</v>
      </c>
      <c r="E27" s="4" t="s">
        <v>85</v>
      </c>
      <c r="F27" s="4" t="s">
        <v>86</v>
      </c>
      <c r="G27" s="4" t="s">
        <v>87</v>
      </c>
      <c r="H27" s="4" t="s">
        <v>86</v>
      </c>
      <c r="J27" s="19">
        <v>6</v>
      </c>
      <c r="K27" s="4">
        <v>4</v>
      </c>
      <c r="L27" s="4">
        <v>4</v>
      </c>
      <c r="M27" s="4">
        <v>6</v>
      </c>
      <c r="N27" s="4">
        <v>5</v>
      </c>
      <c r="O27" s="4">
        <v>7</v>
      </c>
      <c r="P27" s="4">
        <v>7</v>
      </c>
      <c r="Q27" s="4">
        <v>7</v>
      </c>
      <c r="R27" s="8">
        <f t="shared" si="0"/>
        <v>3</v>
      </c>
      <c r="T27" s="19">
        <v>7</v>
      </c>
      <c r="U27" s="4">
        <v>7</v>
      </c>
      <c r="V27" s="4">
        <v>6</v>
      </c>
      <c r="W27" s="4">
        <v>5</v>
      </c>
      <c r="X27" s="4">
        <v>6</v>
      </c>
      <c r="Y27" s="4">
        <v>7</v>
      </c>
      <c r="Z27" s="4">
        <v>3</v>
      </c>
      <c r="AA27" s="4">
        <v>6</v>
      </c>
      <c r="AB27" s="4">
        <v>6</v>
      </c>
      <c r="AC27" s="4">
        <v>7</v>
      </c>
      <c r="AD27" s="4">
        <v>4</v>
      </c>
      <c r="AE27" s="4">
        <v>3</v>
      </c>
      <c r="AF27" s="4">
        <v>4</v>
      </c>
      <c r="AG27" s="4">
        <v>4</v>
      </c>
      <c r="AH27" s="8">
        <f t="shared" si="1"/>
        <v>4.64285714285714</v>
      </c>
      <c r="AJ27" s="19">
        <v>7</v>
      </c>
      <c r="AK27" s="4">
        <v>3</v>
      </c>
      <c r="AL27" s="4">
        <v>6</v>
      </c>
      <c r="AM27" s="4">
        <v>5</v>
      </c>
      <c r="AN27" s="4">
        <v>7</v>
      </c>
      <c r="AO27" s="4">
        <v>6</v>
      </c>
      <c r="AP27" s="4">
        <v>7</v>
      </c>
      <c r="AQ27" s="4">
        <v>7</v>
      </c>
      <c r="AR27" s="8">
        <f t="shared" si="2"/>
        <v>6</v>
      </c>
      <c r="AT27" s="19">
        <v>7</v>
      </c>
      <c r="AU27" s="4">
        <v>6</v>
      </c>
      <c r="AV27" s="4">
        <v>6</v>
      </c>
      <c r="AW27" s="4">
        <v>7</v>
      </c>
      <c r="AX27" s="4">
        <v>4</v>
      </c>
      <c r="AY27" s="4">
        <v>5</v>
      </c>
      <c r="AZ27" s="4">
        <v>6</v>
      </c>
      <c r="BA27" s="8">
        <f t="shared" si="3"/>
        <v>4.71428571428571</v>
      </c>
      <c r="BC27" s="19">
        <v>3</v>
      </c>
      <c r="BD27" s="4">
        <v>2</v>
      </c>
      <c r="BE27" s="8">
        <f t="shared" si="4"/>
        <v>5</v>
      </c>
      <c r="BF27" s="19">
        <v>1</v>
      </c>
      <c r="BG27" s="4">
        <v>1</v>
      </c>
      <c r="BH27" s="8">
        <f t="shared" si="5"/>
        <v>2</v>
      </c>
      <c r="BI27">
        <f t="shared" si="6"/>
        <v>-3</v>
      </c>
    </row>
    <row r="28" spans="1:61">
      <c r="A28" t="s">
        <v>115</v>
      </c>
      <c r="B28">
        <v>16</v>
      </c>
      <c r="C28" t="s">
        <v>83</v>
      </c>
      <c r="D28" t="s">
        <v>89</v>
      </c>
      <c r="E28" t="s">
        <v>85</v>
      </c>
      <c r="F28" t="s">
        <v>87</v>
      </c>
      <c r="G28" t="s">
        <v>87</v>
      </c>
      <c r="H28" t="s">
        <v>86</v>
      </c>
      <c r="J28" s="7">
        <v>4</v>
      </c>
      <c r="K28">
        <v>3</v>
      </c>
      <c r="L28">
        <v>5</v>
      </c>
      <c r="M28">
        <v>7</v>
      </c>
      <c r="N28">
        <v>7</v>
      </c>
      <c r="O28">
        <v>2</v>
      </c>
      <c r="P28">
        <v>2</v>
      </c>
      <c r="Q28">
        <v>2</v>
      </c>
      <c r="R28" s="8">
        <f t="shared" si="0"/>
        <v>5.75</v>
      </c>
      <c r="T28" s="7">
        <v>7</v>
      </c>
      <c r="U28">
        <v>7</v>
      </c>
      <c r="V28">
        <v>2</v>
      </c>
      <c r="W28">
        <v>2</v>
      </c>
      <c r="X28">
        <v>6</v>
      </c>
      <c r="Y28">
        <v>7</v>
      </c>
      <c r="Z28">
        <v>6</v>
      </c>
      <c r="AA28">
        <v>6</v>
      </c>
      <c r="AB28">
        <v>5</v>
      </c>
      <c r="AC28">
        <v>5</v>
      </c>
      <c r="AD28">
        <v>6</v>
      </c>
      <c r="AE28">
        <v>5</v>
      </c>
      <c r="AF28">
        <v>3</v>
      </c>
      <c r="AG28">
        <v>2</v>
      </c>
      <c r="AH28" s="8">
        <f t="shared" si="1"/>
        <v>5.07142857142857</v>
      </c>
      <c r="AJ28" s="7">
        <v>1</v>
      </c>
      <c r="AK28">
        <v>4</v>
      </c>
      <c r="AL28">
        <v>4</v>
      </c>
      <c r="AM28">
        <v>4</v>
      </c>
      <c r="AN28">
        <v>2</v>
      </c>
      <c r="AR28" s="8">
        <f t="shared" si="2"/>
        <v>3</v>
      </c>
      <c r="BA28" s="8">
        <f t="shared" si="3"/>
        <v>2.28571428571429</v>
      </c>
      <c r="BC28" s="7">
        <v>3</v>
      </c>
      <c r="BD28">
        <v>1</v>
      </c>
      <c r="BE28" s="8">
        <f t="shared" ref="BE28:BE46" si="7">SUM(BC28:BD28)</f>
        <v>4</v>
      </c>
      <c r="BF28" s="7">
        <v>3</v>
      </c>
      <c r="BG28">
        <v>1</v>
      </c>
      <c r="BH28" s="8">
        <f t="shared" ref="BH28:BH45" si="8">SUM(BF28:BG28)</f>
        <v>4</v>
      </c>
      <c r="BI28">
        <f t="shared" ref="BI28:BI45" si="9">BH28-BE28</f>
        <v>0</v>
      </c>
    </row>
    <row r="29" spans="1:61">
      <c r="A29" t="s">
        <v>116</v>
      </c>
      <c r="B29">
        <v>16</v>
      </c>
      <c r="C29" t="s">
        <v>91</v>
      </c>
      <c r="D29" t="s">
        <v>89</v>
      </c>
      <c r="E29" t="s">
        <v>85</v>
      </c>
      <c r="F29" t="s">
        <v>86</v>
      </c>
      <c r="G29" t="s">
        <v>87</v>
      </c>
      <c r="H29" t="s">
        <v>86</v>
      </c>
      <c r="J29" s="7">
        <v>4</v>
      </c>
      <c r="K29">
        <v>2</v>
      </c>
      <c r="L29">
        <v>7</v>
      </c>
      <c r="M29">
        <v>7</v>
      </c>
      <c r="N29">
        <v>7</v>
      </c>
      <c r="O29">
        <v>1</v>
      </c>
      <c r="P29">
        <v>1</v>
      </c>
      <c r="Q29">
        <v>1</v>
      </c>
      <c r="R29" s="8">
        <f t="shared" si="0"/>
        <v>6.5</v>
      </c>
      <c r="T29" s="7">
        <v>7</v>
      </c>
      <c r="U29">
        <v>7</v>
      </c>
      <c r="V29">
        <v>4</v>
      </c>
      <c r="W29">
        <v>6</v>
      </c>
      <c r="X29">
        <v>6</v>
      </c>
      <c r="Y29">
        <v>6</v>
      </c>
      <c r="Z29">
        <v>6</v>
      </c>
      <c r="AA29">
        <v>1</v>
      </c>
      <c r="AB29">
        <v>5</v>
      </c>
      <c r="AC29">
        <v>5</v>
      </c>
      <c r="AD29">
        <v>6</v>
      </c>
      <c r="AE29">
        <v>5</v>
      </c>
      <c r="AF29">
        <v>4</v>
      </c>
      <c r="AG29">
        <v>1</v>
      </c>
      <c r="AH29" s="8">
        <f t="shared" si="1"/>
        <v>4.21428571428571</v>
      </c>
      <c r="AJ29" s="7">
        <v>5</v>
      </c>
      <c r="AK29">
        <v>1</v>
      </c>
      <c r="AL29">
        <v>4</v>
      </c>
      <c r="AM29">
        <v>3</v>
      </c>
      <c r="AN29">
        <v>6</v>
      </c>
      <c r="AO29">
        <v>6</v>
      </c>
      <c r="AP29">
        <v>7</v>
      </c>
      <c r="AQ29">
        <v>6</v>
      </c>
      <c r="AR29" s="8">
        <f t="shared" si="2"/>
        <v>4.75</v>
      </c>
      <c r="AT29" s="7">
        <v>6</v>
      </c>
      <c r="AU29">
        <v>5</v>
      </c>
      <c r="AV29">
        <v>2</v>
      </c>
      <c r="AW29">
        <v>2</v>
      </c>
      <c r="AX29">
        <v>6</v>
      </c>
      <c r="AY29">
        <v>6</v>
      </c>
      <c r="AZ29">
        <v>1</v>
      </c>
      <c r="BA29" s="8">
        <f t="shared" si="3"/>
        <v>5.42857142857143</v>
      </c>
      <c r="BC29" s="7">
        <v>2</v>
      </c>
      <c r="BD29">
        <v>5</v>
      </c>
      <c r="BE29" s="8">
        <f t="shared" si="7"/>
        <v>7</v>
      </c>
      <c r="BF29" s="7">
        <v>5</v>
      </c>
      <c r="BG29">
        <v>5</v>
      </c>
      <c r="BH29" s="8">
        <f t="shared" si="8"/>
        <v>10</v>
      </c>
      <c r="BI29">
        <f t="shared" si="9"/>
        <v>3</v>
      </c>
    </row>
    <row r="30" spans="1:61">
      <c r="A30" t="s">
        <v>117</v>
      </c>
      <c r="B30">
        <v>16</v>
      </c>
      <c r="C30" t="s">
        <v>91</v>
      </c>
      <c r="D30" t="s">
        <v>89</v>
      </c>
      <c r="E30" t="s">
        <v>108</v>
      </c>
      <c r="F30" t="s">
        <v>87</v>
      </c>
      <c r="G30" t="s">
        <v>87</v>
      </c>
      <c r="H30" t="s">
        <v>87</v>
      </c>
      <c r="J30" s="7">
        <v>5</v>
      </c>
      <c r="K30">
        <v>4</v>
      </c>
      <c r="L30">
        <v>7</v>
      </c>
      <c r="M30">
        <v>7</v>
      </c>
      <c r="N30">
        <v>7</v>
      </c>
      <c r="O30">
        <v>1</v>
      </c>
      <c r="P30">
        <v>1</v>
      </c>
      <c r="Q30">
        <v>1</v>
      </c>
      <c r="R30" s="8">
        <f t="shared" si="0"/>
        <v>6.125</v>
      </c>
      <c r="T30" s="7">
        <v>7</v>
      </c>
      <c r="U30">
        <v>7</v>
      </c>
      <c r="V30">
        <v>1</v>
      </c>
      <c r="W30">
        <v>1</v>
      </c>
      <c r="X30">
        <v>1</v>
      </c>
      <c r="Y30">
        <v>7</v>
      </c>
      <c r="Z30">
        <v>4</v>
      </c>
      <c r="AA30">
        <v>4</v>
      </c>
      <c r="AB30">
        <v>2</v>
      </c>
      <c r="AC30">
        <v>6</v>
      </c>
      <c r="AD30">
        <v>1</v>
      </c>
      <c r="AE30">
        <v>7</v>
      </c>
      <c r="AF30">
        <v>7</v>
      </c>
      <c r="AG30">
        <v>3</v>
      </c>
      <c r="AH30" s="8">
        <f t="shared" si="1"/>
        <v>5.71428571428571</v>
      </c>
      <c r="AJ30" s="7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7</v>
      </c>
      <c r="AQ30">
        <v>7</v>
      </c>
      <c r="AR30" s="8">
        <f t="shared" si="2"/>
        <v>7</v>
      </c>
      <c r="AT30" s="7">
        <v>7</v>
      </c>
      <c r="AU30">
        <v>7</v>
      </c>
      <c r="AV30">
        <v>1</v>
      </c>
      <c r="AW30">
        <v>7</v>
      </c>
      <c r="AX30">
        <v>7</v>
      </c>
      <c r="AY30">
        <v>7</v>
      </c>
      <c r="AZ30">
        <v>1</v>
      </c>
      <c r="BA30" s="8">
        <f t="shared" si="3"/>
        <v>7</v>
      </c>
      <c r="BC30" s="7">
        <v>5</v>
      </c>
      <c r="BD30">
        <v>5</v>
      </c>
      <c r="BE30" s="8">
        <f t="shared" si="7"/>
        <v>10</v>
      </c>
      <c r="BF30" s="7">
        <v>5</v>
      </c>
      <c r="BG30">
        <v>5</v>
      </c>
      <c r="BH30" s="8">
        <f t="shared" si="8"/>
        <v>10</v>
      </c>
      <c r="BI30">
        <f t="shared" si="9"/>
        <v>0</v>
      </c>
    </row>
    <row r="31" spans="1:61">
      <c r="A31" t="s">
        <v>118</v>
      </c>
      <c r="B31">
        <v>16</v>
      </c>
      <c r="C31" t="s">
        <v>83</v>
      </c>
      <c r="D31" t="s">
        <v>89</v>
      </c>
      <c r="E31" t="s">
        <v>85</v>
      </c>
      <c r="F31" t="s">
        <v>86</v>
      </c>
      <c r="G31" t="s">
        <v>87</v>
      </c>
      <c r="H31" t="s">
        <v>86</v>
      </c>
      <c r="J31" s="7">
        <v>3</v>
      </c>
      <c r="K31">
        <v>2</v>
      </c>
      <c r="L31">
        <v>6</v>
      </c>
      <c r="M31">
        <v>6</v>
      </c>
      <c r="N31">
        <v>7</v>
      </c>
      <c r="O31">
        <v>2</v>
      </c>
      <c r="P31">
        <v>1</v>
      </c>
      <c r="Q31">
        <v>1</v>
      </c>
      <c r="R31" s="8">
        <f t="shared" si="0"/>
        <v>6.25</v>
      </c>
      <c r="T31" s="7">
        <v>6</v>
      </c>
      <c r="U31">
        <v>6</v>
      </c>
      <c r="V31">
        <v>3</v>
      </c>
      <c r="W31">
        <v>6</v>
      </c>
      <c r="X31">
        <v>5</v>
      </c>
      <c r="Y31">
        <v>3</v>
      </c>
      <c r="Z31">
        <v>5</v>
      </c>
      <c r="AA31">
        <v>7</v>
      </c>
      <c r="AB31">
        <v>5</v>
      </c>
      <c r="AC31">
        <v>3</v>
      </c>
      <c r="AD31">
        <v>2</v>
      </c>
      <c r="AE31">
        <v>6</v>
      </c>
      <c r="AF31">
        <v>2</v>
      </c>
      <c r="AG31">
        <v>1</v>
      </c>
      <c r="AH31" s="8">
        <f t="shared" si="1"/>
        <v>4.28571428571429</v>
      </c>
      <c r="AJ31" s="7">
        <v>3</v>
      </c>
      <c r="AK31">
        <v>5</v>
      </c>
      <c r="AL31">
        <v>2</v>
      </c>
      <c r="AM31">
        <v>5</v>
      </c>
      <c r="AN31">
        <v>3</v>
      </c>
      <c r="AO31">
        <v>7</v>
      </c>
      <c r="AP31">
        <v>7</v>
      </c>
      <c r="AQ31">
        <v>5</v>
      </c>
      <c r="AR31" s="8">
        <f t="shared" si="2"/>
        <v>4.625</v>
      </c>
      <c r="AT31" s="7">
        <v>6</v>
      </c>
      <c r="AU31">
        <v>3</v>
      </c>
      <c r="AV31">
        <v>5</v>
      </c>
      <c r="AW31">
        <v>3</v>
      </c>
      <c r="AX31">
        <v>7</v>
      </c>
      <c r="AY31">
        <v>7</v>
      </c>
      <c r="AZ31">
        <v>2</v>
      </c>
      <c r="BA31" s="8">
        <f t="shared" si="3"/>
        <v>5</v>
      </c>
      <c r="BC31" s="7">
        <v>5</v>
      </c>
      <c r="BD31">
        <v>5</v>
      </c>
      <c r="BE31" s="8">
        <f t="shared" si="7"/>
        <v>10</v>
      </c>
      <c r="BF31" s="7">
        <v>5</v>
      </c>
      <c r="BG31">
        <v>5</v>
      </c>
      <c r="BH31" s="8">
        <f t="shared" si="8"/>
        <v>10</v>
      </c>
      <c r="BI31">
        <f t="shared" si="9"/>
        <v>0</v>
      </c>
    </row>
    <row r="32" spans="1:61">
      <c r="A32" t="s">
        <v>119</v>
      </c>
      <c r="B32">
        <v>16</v>
      </c>
      <c r="C32" t="s">
        <v>83</v>
      </c>
      <c r="D32" t="s">
        <v>89</v>
      </c>
      <c r="E32" t="s">
        <v>85</v>
      </c>
      <c r="F32" t="s">
        <v>86</v>
      </c>
      <c r="G32" t="s">
        <v>86</v>
      </c>
      <c r="H32" t="s">
        <v>86</v>
      </c>
      <c r="J32" s="7">
        <v>3</v>
      </c>
      <c r="K32">
        <v>3</v>
      </c>
      <c r="L32">
        <v>6</v>
      </c>
      <c r="M32">
        <v>7</v>
      </c>
      <c r="N32">
        <v>7</v>
      </c>
      <c r="O32">
        <v>1</v>
      </c>
      <c r="P32">
        <v>1</v>
      </c>
      <c r="Q32">
        <v>1</v>
      </c>
      <c r="R32" s="8">
        <f t="shared" si="0"/>
        <v>6.375</v>
      </c>
      <c r="T32" s="7">
        <v>7</v>
      </c>
      <c r="U32">
        <v>7</v>
      </c>
      <c r="V32">
        <v>4</v>
      </c>
      <c r="W32">
        <v>5</v>
      </c>
      <c r="X32">
        <v>6</v>
      </c>
      <c r="Y32">
        <v>7</v>
      </c>
      <c r="Z32">
        <v>3</v>
      </c>
      <c r="AA32">
        <v>4</v>
      </c>
      <c r="AB32">
        <v>4</v>
      </c>
      <c r="AC32">
        <v>5</v>
      </c>
      <c r="AD32">
        <v>2</v>
      </c>
      <c r="AE32">
        <v>6</v>
      </c>
      <c r="AF32">
        <v>2</v>
      </c>
      <c r="AG32">
        <v>4</v>
      </c>
      <c r="AH32" s="8">
        <f t="shared" si="1"/>
        <v>4.85714285714286</v>
      </c>
      <c r="AJ32" s="7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6</v>
      </c>
      <c r="AQ32">
        <v>6</v>
      </c>
      <c r="AR32" s="8">
        <f t="shared" si="2"/>
        <v>5.25</v>
      </c>
      <c r="AT32" s="7">
        <v>7</v>
      </c>
      <c r="AU32">
        <v>7</v>
      </c>
      <c r="AV32">
        <v>4</v>
      </c>
      <c r="AW32">
        <v>7</v>
      </c>
      <c r="AX32">
        <v>7</v>
      </c>
      <c r="AY32">
        <v>7</v>
      </c>
      <c r="AZ32">
        <v>4</v>
      </c>
      <c r="BA32" s="8">
        <f t="shared" si="3"/>
        <v>6.14285714285714</v>
      </c>
      <c r="BC32" s="7">
        <v>2</v>
      </c>
      <c r="BD32">
        <v>3</v>
      </c>
      <c r="BE32" s="8">
        <f t="shared" si="7"/>
        <v>5</v>
      </c>
      <c r="BF32" s="7">
        <v>5</v>
      </c>
      <c r="BG32">
        <v>5</v>
      </c>
      <c r="BH32" s="8">
        <f t="shared" si="8"/>
        <v>10</v>
      </c>
      <c r="BI32">
        <f t="shared" si="9"/>
        <v>5</v>
      </c>
    </row>
    <row r="33" spans="1:61">
      <c r="A33" t="s">
        <v>120</v>
      </c>
      <c r="B33">
        <v>16</v>
      </c>
      <c r="C33" t="s">
        <v>83</v>
      </c>
      <c r="D33" t="s">
        <v>89</v>
      </c>
      <c r="E33" t="s">
        <v>85</v>
      </c>
      <c r="F33" t="s">
        <v>86</v>
      </c>
      <c r="G33" t="s">
        <v>86</v>
      </c>
      <c r="H33" t="s">
        <v>86</v>
      </c>
      <c r="J33" s="7">
        <v>3</v>
      </c>
      <c r="K33">
        <v>3</v>
      </c>
      <c r="L33">
        <v>6</v>
      </c>
      <c r="M33">
        <v>6</v>
      </c>
      <c r="N33">
        <v>6</v>
      </c>
      <c r="O33">
        <v>2</v>
      </c>
      <c r="P33">
        <v>2</v>
      </c>
      <c r="Q33">
        <v>2</v>
      </c>
      <c r="R33" s="8">
        <f t="shared" si="0"/>
        <v>5.75</v>
      </c>
      <c r="T33" s="7">
        <v>7</v>
      </c>
      <c r="U33">
        <v>6</v>
      </c>
      <c r="V33">
        <v>3</v>
      </c>
      <c r="W33">
        <v>3</v>
      </c>
      <c r="X33">
        <v>5</v>
      </c>
      <c r="Y33">
        <v>5</v>
      </c>
      <c r="Z33">
        <v>3</v>
      </c>
      <c r="AA33">
        <v>3</v>
      </c>
      <c r="AB33">
        <v>3</v>
      </c>
      <c r="AC33">
        <v>5</v>
      </c>
      <c r="AD33">
        <v>6</v>
      </c>
      <c r="AE33">
        <v>6</v>
      </c>
      <c r="AF33">
        <v>5</v>
      </c>
      <c r="AG33">
        <v>3</v>
      </c>
      <c r="AH33" s="8">
        <f t="shared" si="1"/>
        <v>4.64285714285714</v>
      </c>
      <c r="AJ33" s="7">
        <v>5</v>
      </c>
      <c r="AK33">
        <v>5</v>
      </c>
      <c r="AL33">
        <v>5</v>
      </c>
      <c r="AM33">
        <v>6</v>
      </c>
      <c r="AN33">
        <v>6</v>
      </c>
      <c r="AO33">
        <v>5</v>
      </c>
      <c r="AP33">
        <v>3</v>
      </c>
      <c r="AQ33">
        <v>6</v>
      </c>
      <c r="AR33" s="8">
        <f t="shared" si="2"/>
        <v>5.125</v>
      </c>
      <c r="AT33" s="7">
        <v>6</v>
      </c>
      <c r="AU33">
        <v>6</v>
      </c>
      <c r="AV33">
        <v>3</v>
      </c>
      <c r="AW33">
        <v>6</v>
      </c>
      <c r="AX33">
        <v>6</v>
      </c>
      <c r="AY33">
        <v>6</v>
      </c>
      <c r="AZ33">
        <v>3</v>
      </c>
      <c r="BA33" s="8">
        <f t="shared" si="3"/>
        <v>5.71428571428571</v>
      </c>
      <c r="BC33" s="7">
        <v>4</v>
      </c>
      <c r="BD33">
        <v>4</v>
      </c>
      <c r="BE33" s="8">
        <f t="shared" si="7"/>
        <v>8</v>
      </c>
      <c r="BF33" s="7">
        <v>5</v>
      </c>
      <c r="BG33">
        <v>4</v>
      </c>
      <c r="BH33" s="8">
        <f t="shared" si="8"/>
        <v>9</v>
      </c>
      <c r="BI33">
        <f t="shared" si="9"/>
        <v>1</v>
      </c>
    </row>
    <row r="34" spans="1:61">
      <c r="A34" t="s">
        <v>121</v>
      </c>
      <c r="B34">
        <v>15</v>
      </c>
      <c r="C34" t="s">
        <v>91</v>
      </c>
      <c r="D34" t="s">
        <v>84</v>
      </c>
      <c r="E34" t="s">
        <v>85</v>
      </c>
      <c r="F34" t="s">
        <v>87</v>
      </c>
      <c r="G34" t="s">
        <v>87</v>
      </c>
      <c r="H34" t="s">
        <v>87</v>
      </c>
      <c r="J34" s="7">
        <v>4</v>
      </c>
      <c r="K34">
        <v>3</v>
      </c>
      <c r="L34">
        <v>6</v>
      </c>
      <c r="M34">
        <v>7</v>
      </c>
      <c r="N34">
        <v>7</v>
      </c>
      <c r="O34">
        <v>1</v>
      </c>
      <c r="P34">
        <v>1</v>
      </c>
      <c r="Q34">
        <v>1</v>
      </c>
      <c r="R34" s="8">
        <f t="shared" si="0"/>
        <v>6.25</v>
      </c>
      <c r="T34" s="7">
        <v>7</v>
      </c>
      <c r="U34">
        <v>6</v>
      </c>
      <c r="V34">
        <v>1</v>
      </c>
      <c r="W34">
        <v>1</v>
      </c>
      <c r="X34">
        <v>7</v>
      </c>
      <c r="Y34">
        <v>4</v>
      </c>
      <c r="Z34">
        <v>5</v>
      </c>
      <c r="AA34">
        <v>1</v>
      </c>
      <c r="AB34">
        <v>3</v>
      </c>
      <c r="AC34">
        <v>5</v>
      </c>
      <c r="AD34">
        <v>5</v>
      </c>
      <c r="AE34">
        <v>6</v>
      </c>
      <c r="AF34">
        <v>2</v>
      </c>
      <c r="AG34">
        <v>1</v>
      </c>
      <c r="AH34" s="8">
        <f t="shared" si="1"/>
        <v>4.71428571428571</v>
      </c>
      <c r="AJ34" s="7">
        <v>4</v>
      </c>
      <c r="AK34">
        <v>5</v>
      </c>
      <c r="AL34">
        <v>7</v>
      </c>
      <c r="AM34">
        <v>3</v>
      </c>
      <c r="AN34">
        <v>3</v>
      </c>
      <c r="AO34">
        <v>7</v>
      </c>
      <c r="AP34">
        <v>7</v>
      </c>
      <c r="AQ34">
        <v>7</v>
      </c>
      <c r="AR34" s="8">
        <f t="shared" si="2"/>
        <v>5.375</v>
      </c>
      <c r="AT34" s="7">
        <v>3</v>
      </c>
      <c r="AU34">
        <v>6</v>
      </c>
      <c r="AV34">
        <v>2</v>
      </c>
      <c r="AW34">
        <v>3</v>
      </c>
      <c r="AX34">
        <v>7</v>
      </c>
      <c r="AY34">
        <v>6</v>
      </c>
      <c r="AZ34">
        <v>1</v>
      </c>
      <c r="BA34" s="8">
        <f t="shared" si="3"/>
        <v>5.42857142857143</v>
      </c>
      <c r="BC34" s="7">
        <v>0</v>
      </c>
      <c r="BD34">
        <v>5.5</v>
      </c>
      <c r="BE34" s="8">
        <f t="shared" si="7"/>
        <v>5.5</v>
      </c>
      <c r="BF34" s="7">
        <v>0</v>
      </c>
      <c r="BG34">
        <v>4.5</v>
      </c>
      <c r="BH34" s="8">
        <f t="shared" si="8"/>
        <v>4.5</v>
      </c>
      <c r="BI34">
        <f t="shared" si="9"/>
        <v>-1</v>
      </c>
    </row>
    <row r="35" spans="1:61">
      <c r="A35" t="s">
        <v>122</v>
      </c>
      <c r="B35">
        <v>15</v>
      </c>
      <c r="C35" t="s">
        <v>91</v>
      </c>
      <c r="D35" t="s">
        <v>84</v>
      </c>
      <c r="E35" t="s">
        <v>85</v>
      </c>
      <c r="F35" t="s">
        <v>86</v>
      </c>
      <c r="G35" t="s">
        <v>86</v>
      </c>
      <c r="H35" t="s">
        <v>86</v>
      </c>
      <c r="J35" s="7">
        <v>7</v>
      </c>
      <c r="K35">
        <v>3</v>
      </c>
      <c r="L35">
        <v>7</v>
      </c>
      <c r="M35">
        <v>7</v>
      </c>
      <c r="N35">
        <v>7</v>
      </c>
      <c r="O35">
        <v>1</v>
      </c>
      <c r="P35">
        <v>1</v>
      </c>
      <c r="Q35">
        <v>1</v>
      </c>
      <c r="R35" s="8">
        <f t="shared" si="0"/>
        <v>6</v>
      </c>
      <c r="T35" s="7">
        <v>7</v>
      </c>
      <c r="U35">
        <v>7</v>
      </c>
      <c r="V35">
        <v>1</v>
      </c>
      <c r="W35">
        <v>7</v>
      </c>
      <c r="X35">
        <v>7</v>
      </c>
      <c r="Y35">
        <v>7</v>
      </c>
      <c r="Z35">
        <v>1</v>
      </c>
      <c r="AA35">
        <v>6</v>
      </c>
      <c r="AB35">
        <v>2</v>
      </c>
      <c r="AC35">
        <v>7</v>
      </c>
      <c r="AD35">
        <v>2</v>
      </c>
      <c r="AE35">
        <v>6</v>
      </c>
      <c r="AF35">
        <v>2</v>
      </c>
      <c r="AG35">
        <v>2</v>
      </c>
      <c r="AH35" s="8">
        <f t="shared" si="1"/>
        <v>5.14285714285714</v>
      </c>
      <c r="AJ35" s="7">
        <v>5</v>
      </c>
      <c r="AK35">
        <v>5</v>
      </c>
      <c r="AL35">
        <v>5</v>
      </c>
      <c r="AM35">
        <v>6</v>
      </c>
      <c r="AN35">
        <v>6</v>
      </c>
      <c r="AO35">
        <v>7</v>
      </c>
      <c r="AP35">
        <v>7</v>
      </c>
      <c r="AQ35">
        <v>7</v>
      </c>
      <c r="AR35" s="8">
        <f t="shared" si="2"/>
        <v>6</v>
      </c>
      <c r="AT35" s="7">
        <v>7</v>
      </c>
      <c r="AU35">
        <v>7</v>
      </c>
      <c r="AV35">
        <v>3</v>
      </c>
      <c r="AW35">
        <v>7</v>
      </c>
      <c r="AX35">
        <v>7</v>
      </c>
      <c r="AY35">
        <v>7</v>
      </c>
      <c r="AZ35">
        <v>1</v>
      </c>
      <c r="BA35" s="8">
        <f t="shared" si="3"/>
        <v>6.71428571428571</v>
      </c>
      <c r="BC35" s="7">
        <v>0</v>
      </c>
      <c r="BD35">
        <v>3</v>
      </c>
      <c r="BE35" s="8">
        <f t="shared" si="7"/>
        <v>3</v>
      </c>
      <c r="BF35" s="7">
        <v>0.5</v>
      </c>
      <c r="BG35">
        <v>1.5</v>
      </c>
      <c r="BH35" s="8">
        <f t="shared" si="8"/>
        <v>2</v>
      </c>
      <c r="BI35">
        <f t="shared" si="9"/>
        <v>-1</v>
      </c>
    </row>
    <row r="36" spans="1:61">
      <c r="A36" t="s">
        <v>123</v>
      </c>
      <c r="B36">
        <v>15</v>
      </c>
      <c r="C36" t="s">
        <v>83</v>
      </c>
      <c r="D36" t="s">
        <v>89</v>
      </c>
      <c r="E36" t="s">
        <v>85</v>
      </c>
      <c r="F36" t="s">
        <v>86</v>
      </c>
      <c r="G36" t="s">
        <v>87</v>
      </c>
      <c r="H36" t="s">
        <v>86</v>
      </c>
      <c r="J36" s="7">
        <v>4</v>
      </c>
      <c r="K36">
        <v>5</v>
      </c>
      <c r="L36">
        <v>6</v>
      </c>
      <c r="M36">
        <v>5</v>
      </c>
      <c r="N36">
        <v>6</v>
      </c>
      <c r="O36">
        <v>4</v>
      </c>
      <c r="P36">
        <v>3</v>
      </c>
      <c r="Q36">
        <v>3</v>
      </c>
      <c r="R36" s="8">
        <f t="shared" si="0"/>
        <v>4.75</v>
      </c>
      <c r="T36" s="7">
        <v>7</v>
      </c>
      <c r="U36">
        <v>7</v>
      </c>
      <c r="V36">
        <v>3</v>
      </c>
      <c r="W36">
        <v>3</v>
      </c>
      <c r="X36">
        <v>7</v>
      </c>
      <c r="Y36">
        <v>6</v>
      </c>
      <c r="Z36">
        <v>3</v>
      </c>
      <c r="AA36">
        <v>3</v>
      </c>
      <c r="AB36">
        <v>3</v>
      </c>
      <c r="AC36">
        <v>6</v>
      </c>
      <c r="AD36">
        <v>2</v>
      </c>
      <c r="AE36">
        <v>6</v>
      </c>
      <c r="AF36">
        <v>2</v>
      </c>
      <c r="AG36">
        <v>4</v>
      </c>
      <c r="AH36" s="8">
        <f t="shared" si="1"/>
        <v>5.14285714285714</v>
      </c>
      <c r="AJ36" s="7">
        <v>5</v>
      </c>
      <c r="AK36">
        <v>5</v>
      </c>
      <c r="AL36">
        <v>5</v>
      </c>
      <c r="AM36">
        <v>5</v>
      </c>
      <c r="AN36">
        <v>4</v>
      </c>
      <c r="AO36">
        <v>5</v>
      </c>
      <c r="AP36">
        <v>5</v>
      </c>
      <c r="AQ36">
        <v>4</v>
      </c>
      <c r="AR36" s="8">
        <f t="shared" si="2"/>
        <v>4.75</v>
      </c>
      <c r="AT36" s="7">
        <v>4</v>
      </c>
      <c r="AU36">
        <v>4</v>
      </c>
      <c r="AV36">
        <v>6</v>
      </c>
      <c r="AW36">
        <v>4</v>
      </c>
      <c r="AX36">
        <v>3</v>
      </c>
      <c r="AY36">
        <v>3</v>
      </c>
      <c r="AZ36">
        <v>4</v>
      </c>
      <c r="BA36" s="8">
        <f t="shared" si="3"/>
        <v>3.42857142857143</v>
      </c>
      <c r="BC36" s="7">
        <v>1</v>
      </c>
      <c r="BD36">
        <v>5</v>
      </c>
      <c r="BE36" s="8">
        <f t="shared" si="7"/>
        <v>6</v>
      </c>
      <c r="BF36" s="7">
        <v>0</v>
      </c>
      <c r="BG36">
        <v>1</v>
      </c>
      <c r="BH36" s="8">
        <f t="shared" si="8"/>
        <v>1</v>
      </c>
      <c r="BI36">
        <f t="shared" si="9"/>
        <v>-5</v>
      </c>
    </row>
    <row r="37" spans="1:61">
      <c r="A37" t="s">
        <v>124</v>
      </c>
      <c r="B37">
        <v>15</v>
      </c>
      <c r="C37" t="s">
        <v>83</v>
      </c>
      <c r="D37" t="s">
        <v>89</v>
      </c>
      <c r="E37" t="s">
        <v>85</v>
      </c>
      <c r="F37" t="s">
        <v>87</v>
      </c>
      <c r="G37" t="s">
        <v>87</v>
      </c>
      <c r="H37" t="s">
        <v>86</v>
      </c>
      <c r="J37" s="7">
        <v>3</v>
      </c>
      <c r="K37">
        <v>2</v>
      </c>
      <c r="L37">
        <v>5</v>
      </c>
      <c r="M37">
        <v>6</v>
      </c>
      <c r="N37">
        <v>6</v>
      </c>
      <c r="O37">
        <v>5</v>
      </c>
      <c r="P37">
        <v>2</v>
      </c>
      <c r="Q37">
        <v>3</v>
      </c>
      <c r="R37" s="8">
        <f t="shared" si="0"/>
        <v>5.25</v>
      </c>
      <c r="T37" s="7">
        <v>7</v>
      </c>
      <c r="U37">
        <v>7</v>
      </c>
      <c r="V37">
        <v>6</v>
      </c>
      <c r="W37">
        <v>3</v>
      </c>
      <c r="X37">
        <v>2</v>
      </c>
      <c r="Y37">
        <v>5</v>
      </c>
      <c r="Z37">
        <v>4</v>
      </c>
      <c r="AA37">
        <v>3</v>
      </c>
      <c r="AB37">
        <v>2</v>
      </c>
      <c r="AC37">
        <v>3</v>
      </c>
      <c r="AD37">
        <v>6</v>
      </c>
      <c r="AE37">
        <v>6</v>
      </c>
      <c r="AF37">
        <v>6</v>
      </c>
      <c r="AG37">
        <v>6</v>
      </c>
      <c r="AH37" s="8">
        <f t="shared" si="1"/>
        <v>4.57142857142857</v>
      </c>
      <c r="AJ37" s="7">
        <v>6</v>
      </c>
      <c r="AK37">
        <v>6</v>
      </c>
      <c r="AL37">
        <v>6</v>
      </c>
      <c r="AM37">
        <v>4</v>
      </c>
      <c r="AN37">
        <v>4</v>
      </c>
      <c r="AO37">
        <v>6</v>
      </c>
      <c r="AP37">
        <v>6</v>
      </c>
      <c r="AQ37">
        <v>6</v>
      </c>
      <c r="AR37" s="8">
        <f t="shared" si="2"/>
        <v>5.5</v>
      </c>
      <c r="AT37" s="7">
        <v>6</v>
      </c>
      <c r="AU37">
        <v>4</v>
      </c>
      <c r="AV37">
        <v>1</v>
      </c>
      <c r="AW37">
        <v>7</v>
      </c>
      <c r="AX37">
        <v>7</v>
      </c>
      <c r="AY37">
        <v>7</v>
      </c>
      <c r="AZ37">
        <v>5</v>
      </c>
      <c r="BA37" s="8">
        <f t="shared" si="3"/>
        <v>5.85714285714286</v>
      </c>
      <c r="BC37" s="7">
        <v>0.5</v>
      </c>
      <c r="BD37">
        <v>2</v>
      </c>
      <c r="BE37" s="8">
        <f t="shared" si="7"/>
        <v>2.5</v>
      </c>
      <c r="BF37" s="7">
        <v>0.5</v>
      </c>
      <c r="BG37">
        <v>0</v>
      </c>
      <c r="BH37" s="8">
        <f t="shared" si="8"/>
        <v>0.5</v>
      </c>
      <c r="BI37">
        <f t="shared" si="9"/>
        <v>-2</v>
      </c>
    </row>
    <row r="38" spans="1:61">
      <c r="A38" t="s">
        <v>125</v>
      </c>
      <c r="B38">
        <v>16</v>
      </c>
      <c r="C38" t="s">
        <v>83</v>
      </c>
      <c r="D38" t="s">
        <v>89</v>
      </c>
      <c r="E38" t="s">
        <v>85</v>
      </c>
      <c r="F38" t="s">
        <v>86</v>
      </c>
      <c r="G38" t="s">
        <v>86</v>
      </c>
      <c r="H38" t="s">
        <v>86</v>
      </c>
      <c r="J38" s="7">
        <v>3</v>
      </c>
      <c r="K38">
        <v>4</v>
      </c>
      <c r="L38">
        <v>3</v>
      </c>
      <c r="M38">
        <v>4</v>
      </c>
      <c r="N38">
        <v>5</v>
      </c>
      <c r="O38">
        <v>1</v>
      </c>
      <c r="P38">
        <v>1</v>
      </c>
      <c r="Q38">
        <v>1</v>
      </c>
      <c r="R38" s="8">
        <f t="shared" si="0"/>
        <v>5.25</v>
      </c>
      <c r="T38" s="7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1</v>
      </c>
      <c r="AA38">
        <v>1</v>
      </c>
      <c r="AB38">
        <v>4</v>
      </c>
      <c r="AC38">
        <v>6</v>
      </c>
      <c r="AD38">
        <v>6</v>
      </c>
      <c r="AE38">
        <v>6</v>
      </c>
      <c r="AF38">
        <v>5</v>
      </c>
      <c r="AG38">
        <v>1</v>
      </c>
      <c r="AH38" s="8">
        <f t="shared" si="1"/>
        <v>4</v>
      </c>
      <c r="AJ38" s="7">
        <v>6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6</v>
      </c>
      <c r="AR38" s="8">
        <f t="shared" si="2"/>
        <v>6</v>
      </c>
      <c r="AT38" s="7">
        <v>6</v>
      </c>
      <c r="AU38">
        <v>6</v>
      </c>
      <c r="AV38">
        <v>2</v>
      </c>
      <c r="AW38">
        <v>6</v>
      </c>
      <c r="AX38">
        <v>6</v>
      </c>
      <c r="AY38">
        <v>6</v>
      </c>
      <c r="AZ38">
        <v>2</v>
      </c>
      <c r="BA38" s="8">
        <f t="shared" si="3"/>
        <v>6</v>
      </c>
      <c r="BC38" s="7">
        <v>0</v>
      </c>
      <c r="BD38">
        <v>3.5</v>
      </c>
      <c r="BE38" s="8">
        <f t="shared" si="7"/>
        <v>3.5</v>
      </c>
      <c r="BF38" s="7">
        <v>0</v>
      </c>
      <c r="BG38">
        <v>2.5</v>
      </c>
      <c r="BH38" s="8">
        <f t="shared" si="8"/>
        <v>2.5</v>
      </c>
      <c r="BI38">
        <f t="shared" si="9"/>
        <v>-1</v>
      </c>
    </row>
    <row r="39" spans="1:61">
      <c r="A39" t="s">
        <v>126</v>
      </c>
      <c r="B39">
        <v>15</v>
      </c>
      <c r="C39" t="s">
        <v>83</v>
      </c>
      <c r="D39" t="s">
        <v>84</v>
      </c>
      <c r="E39" t="s">
        <v>85</v>
      </c>
      <c r="F39" t="s">
        <v>86</v>
      </c>
      <c r="G39" t="s">
        <v>86</v>
      </c>
      <c r="H39" t="s">
        <v>86</v>
      </c>
      <c r="J39" s="7">
        <v>5</v>
      </c>
      <c r="K39">
        <v>5</v>
      </c>
      <c r="L39">
        <v>6</v>
      </c>
      <c r="M39">
        <v>7</v>
      </c>
      <c r="N39">
        <v>7</v>
      </c>
      <c r="O39">
        <v>3</v>
      </c>
      <c r="P39">
        <v>2</v>
      </c>
      <c r="Q39">
        <v>3</v>
      </c>
      <c r="R39" s="8">
        <f t="shared" si="0"/>
        <v>5.25</v>
      </c>
      <c r="T39" s="7">
        <v>6</v>
      </c>
      <c r="U39">
        <v>7</v>
      </c>
      <c r="V39">
        <v>3</v>
      </c>
      <c r="W39">
        <v>4</v>
      </c>
      <c r="X39">
        <v>5</v>
      </c>
      <c r="Y39">
        <v>5</v>
      </c>
      <c r="Z39">
        <v>5</v>
      </c>
      <c r="AA39">
        <v>2</v>
      </c>
      <c r="AB39">
        <v>3</v>
      </c>
      <c r="AC39">
        <v>5</v>
      </c>
      <c r="AD39">
        <v>6</v>
      </c>
      <c r="AE39">
        <v>5</v>
      </c>
      <c r="AF39">
        <v>5</v>
      </c>
      <c r="AG39">
        <v>4</v>
      </c>
      <c r="AH39" s="8">
        <f t="shared" si="1"/>
        <v>4.64285714285714</v>
      </c>
      <c r="AJ39" s="7">
        <v>5</v>
      </c>
      <c r="AK39">
        <v>5</v>
      </c>
      <c r="AL39">
        <v>4</v>
      </c>
      <c r="AM39">
        <v>5</v>
      </c>
      <c r="AN39">
        <v>6</v>
      </c>
      <c r="AO39">
        <v>6</v>
      </c>
      <c r="AP39">
        <v>6</v>
      </c>
      <c r="AQ39">
        <v>7</v>
      </c>
      <c r="AR39" s="8">
        <f t="shared" si="2"/>
        <v>5.5</v>
      </c>
      <c r="AT39" s="7">
        <v>7</v>
      </c>
      <c r="AU39">
        <v>6</v>
      </c>
      <c r="AV39">
        <v>5</v>
      </c>
      <c r="AW39">
        <v>5</v>
      </c>
      <c r="AX39">
        <v>7</v>
      </c>
      <c r="AY39">
        <v>7</v>
      </c>
      <c r="AZ39">
        <v>2</v>
      </c>
      <c r="BA39" s="8">
        <f t="shared" si="3"/>
        <v>5.85714285714286</v>
      </c>
      <c r="BC39" s="7">
        <v>0</v>
      </c>
      <c r="BD39">
        <v>2.5</v>
      </c>
      <c r="BE39" s="8">
        <f t="shared" si="7"/>
        <v>2.5</v>
      </c>
      <c r="BF39" s="7">
        <v>0.5</v>
      </c>
      <c r="BG39">
        <v>5.5</v>
      </c>
      <c r="BH39" s="8">
        <f t="shared" si="8"/>
        <v>6</v>
      </c>
      <c r="BI39">
        <f t="shared" si="9"/>
        <v>3.5</v>
      </c>
    </row>
    <row r="40" spans="1:61">
      <c r="A40" t="s">
        <v>127</v>
      </c>
      <c r="B40">
        <v>16</v>
      </c>
      <c r="C40" t="s">
        <v>91</v>
      </c>
      <c r="D40" t="s">
        <v>89</v>
      </c>
      <c r="E40" t="s">
        <v>85</v>
      </c>
      <c r="F40" t="s">
        <v>86</v>
      </c>
      <c r="G40" t="s">
        <v>87</v>
      </c>
      <c r="H40" t="s">
        <v>86</v>
      </c>
      <c r="J40" s="7">
        <v>1</v>
      </c>
      <c r="K40">
        <v>1</v>
      </c>
      <c r="L40">
        <v>7</v>
      </c>
      <c r="M40">
        <v>7</v>
      </c>
      <c r="N40">
        <v>7</v>
      </c>
      <c r="O40">
        <v>1</v>
      </c>
      <c r="P40">
        <v>1</v>
      </c>
      <c r="Q40">
        <v>1</v>
      </c>
      <c r="R40" s="8">
        <f t="shared" si="0"/>
        <v>7</v>
      </c>
      <c r="T40" s="7">
        <v>7</v>
      </c>
      <c r="U40">
        <v>3</v>
      </c>
      <c r="V40">
        <v>1</v>
      </c>
      <c r="W40">
        <v>1</v>
      </c>
      <c r="X40">
        <v>5</v>
      </c>
      <c r="Y40">
        <v>7</v>
      </c>
      <c r="Z40">
        <v>2</v>
      </c>
      <c r="AA40">
        <v>2</v>
      </c>
      <c r="AB40">
        <v>6</v>
      </c>
      <c r="AC40">
        <v>2</v>
      </c>
      <c r="AD40">
        <v>2</v>
      </c>
      <c r="AE40">
        <v>4</v>
      </c>
      <c r="AF40">
        <v>5</v>
      </c>
      <c r="AG40">
        <v>1</v>
      </c>
      <c r="AH40" s="8">
        <f t="shared" si="1"/>
        <v>4.28571428571429</v>
      </c>
      <c r="AJ40" s="7">
        <v>1</v>
      </c>
      <c r="AK40">
        <v>1</v>
      </c>
      <c r="AL40">
        <v>3</v>
      </c>
      <c r="AM40">
        <v>3</v>
      </c>
      <c r="AN40">
        <v>3</v>
      </c>
      <c r="AO40">
        <v>6</v>
      </c>
      <c r="AP40">
        <v>6</v>
      </c>
      <c r="AQ40">
        <v>5</v>
      </c>
      <c r="AR40" s="8">
        <f t="shared" si="2"/>
        <v>3.5</v>
      </c>
      <c r="AT40" s="7">
        <v>1</v>
      </c>
      <c r="AU40">
        <v>1</v>
      </c>
      <c r="AV40">
        <v>5</v>
      </c>
      <c r="AW40">
        <v>2</v>
      </c>
      <c r="AX40">
        <v>7</v>
      </c>
      <c r="AY40">
        <v>5</v>
      </c>
      <c r="AZ40">
        <v>1</v>
      </c>
      <c r="BA40" s="8">
        <f t="shared" si="3"/>
        <v>3.71428571428571</v>
      </c>
      <c r="BC40" s="7">
        <v>2</v>
      </c>
      <c r="BD40">
        <v>8</v>
      </c>
      <c r="BE40" s="8">
        <f t="shared" si="7"/>
        <v>10</v>
      </c>
      <c r="BF40" s="7">
        <v>2</v>
      </c>
      <c r="BG40">
        <v>8</v>
      </c>
      <c r="BH40" s="8">
        <f t="shared" si="8"/>
        <v>10</v>
      </c>
      <c r="BI40">
        <f t="shared" si="9"/>
        <v>0</v>
      </c>
    </row>
    <row r="41" spans="1:61">
      <c r="A41" t="s">
        <v>128</v>
      </c>
      <c r="B41">
        <v>16</v>
      </c>
      <c r="C41" t="s">
        <v>91</v>
      </c>
      <c r="D41" t="s">
        <v>84</v>
      </c>
      <c r="E41" t="s">
        <v>85</v>
      </c>
      <c r="F41" t="s">
        <v>87</v>
      </c>
      <c r="G41" t="s">
        <v>87</v>
      </c>
      <c r="H41" t="s">
        <v>86</v>
      </c>
      <c r="J41" s="7">
        <v>3</v>
      </c>
      <c r="K41">
        <v>3</v>
      </c>
      <c r="L41">
        <v>6</v>
      </c>
      <c r="M41">
        <v>6</v>
      </c>
      <c r="N41">
        <v>6</v>
      </c>
      <c r="O41">
        <v>3</v>
      </c>
      <c r="P41">
        <v>3</v>
      </c>
      <c r="Q41">
        <v>3</v>
      </c>
      <c r="R41" s="8">
        <f t="shared" si="0"/>
        <v>5.375</v>
      </c>
      <c r="T41" s="7">
        <v>7</v>
      </c>
      <c r="U41">
        <v>7</v>
      </c>
      <c r="V41">
        <v>4</v>
      </c>
      <c r="W41">
        <v>4</v>
      </c>
      <c r="X41">
        <v>6</v>
      </c>
      <c r="Y41">
        <v>6</v>
      </c>
      <c r="Z41">
        <v>3</v>
      </c>
      <c r="AA41">
        <v>5</v>
      </c>
      <c r="AB41">
        <v>4</v>
      </c>
      <c r="AC41">
        <v>2</v>
      </c>
      <c r="AD41">
        <v>5</v>
      </c>
      <c r="AE41">
        <v>3</v>
      </c>
      <c r="AF41">
        <v>3</v>
      </c>
      <c r="AG41">
        <v>1</v>
      </c>
      <c r="AH41" s="8">
        <f t="shared" si="1"/>
        <v>4.14285714285714</v>
      </c>
      <c r="AJ41" s="7">
        <v>3</v>
      </c>
      <c r="AK41">
        <v>3</v>
      </c>
      <c r="AL41">
        <v>5</v>
      </c>
      <c r="AM41">
        <v>4</v>
      </c>
      <c r="AN41">
        <v>5</v>
      </c>
      <c r="AO41">
        <v>5</v>
      </c>
      <c r="AP41">
        <v>5</v>
      </c>
      <c r="AQ41">
        <v>5</v>
      </c>
      <c r="AR41" s="8">
        <f t="shared" si="2"/>
        <v>4.375</v>
      </c>
      <c r="AT41" s="7">
        <v>5</v>
      </c>
      <c r="AU41">
        <v>4</v>
      </c>
      <c r="AV41">
        <v>3</v>
      </c>
      <c r="AW41">
        <v>5</v>
      </c>
      <c r="AX41">
        <v>5</v>
      </c>
      <c r="AY41">
        <v>5</v>
      </c>
      <c r="AZ41">
        <v>3</v>
      </c>
      <c r="BA41" s="8">
        <f t="shared" si="3"/>
        <v>4.85714285714286</v>
      </c>
      <c r="BC41" s="7">
        <v>2</v>
      </c>
      <c r="BD41">
        <v>8</v>
      </c>
      <c r="BE41" s="8">
        <f t="shared" si="7"/>
        <v>10</v>
      </c>
      <c r="BF41" s="7">
        <v>1.5</v>
      </c>
      <c r="BG41">
        <v>7.5</v>
      </c>
      <c r="BH41" s="8">
        <f t="shared" si="8"/>
        <v>9</v>
      </c>
      <c r="BI41">
        <f t="shared" si="9"/>
        <v>-1</v>
      </c>
    </row>
    <row r="42" spans="1:61">
      <c r="A42" t="s">
        <v>129</v>
      </c>
      <c r="B42">
        <v>16</v>
      </c>
      <c r="C42" t="s">
        <v>91</v>
      </c>
      <c r="D42" t="s">
        <v>84</v>
      </c>
      <c r="E42" t="s">
        <v>85</v>
      </c>
      <c r="F42" t="s">
        <v>86</v>
      </c>
      <c r="G42" t="s">
        <v>87</v>
      </c>
      <c r="H42" t="s">
        <v>86</v>
      </c>
      <c r="J42" s="7">
        <v>3</v>
      </c>
      <c r="K42">
        <v>2</v>
      </c>
      <c r="L42">
        <v>5</v>
      </c>
      <c r="M42">
        <v>5</v>
      </c>
      <c r="N42">
        <v>6</v>
      </c>
      <c r="O42">
        <v>3</v>
      </c>
      <c r="P42">
        <v>3</v>
      </c>
      <c r="Q42">
        <v>3</v>
      </c>
      <c r="R42" s="8">
        <f t="shared" si="0"/>
        <v>5.25</v>
      </c>
      <c r="T42" s="7">
        <v>7</v>
      </c>
      <c r="U42">
        <v>7</v>
      </c>
      <c r="V42">
        <v>3</v>
      </c>
      <c r="W42">
        <v>2</v>
      </c>
      <c r="X42">
        <v>6</v>
      </c>
      <c r="Y42">
        <v>6</v>
      </c>
      <c r="Z42">
        <v>5</v>
      </c>
      <c r="AA42">
        <v>5</v>
      </c>
      <c r="AB42">
        <v>3</v>
      </c>
      <c r="AC42">
        <v>5</v>
      </c>
      <c r="AD42">
        <v>2</v>
      </c>
      <c r="AE42">
        <v>5</v>
      </c>
      <c r="AF42">
        <v>5</v>
      </c>
      <c r="AG42">
        <v>4</v>
      </c>
      <c r="AH42" s="8">
        <f t="shared" si="1"/>
        <v>5.5</v>
      </c>
      <c r="AJ42" s="7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6</v>
      </c>
      <c r="AQ42">
        <v>6</v>
      </c>
      <c r="AR42" s="8">
        <f t="shared" si="2"/>
        <v>5.25</v>
      </c>
      <c r="AT42" s="7">
        <v>4</v>
      </c>
      <c r="AU42">
        <v>3</v>
      </c>
      <c r="AV42">
        <v>2</v>
      </c>
      <c r="AW42">
        <v>5</v>
      </c>
      <c r="AX42">
        <v>3</v>
      </c>
      <c r="AY42">
        <v>2</v>
      </c>
      <c r="AZ42">
        <v>4</v>
      </c>
      <c r="BA42" s="8">
        <f t="shared" si="3"/>
        <v>3.85714285714286</v>
      </c>
      <c r="BC42" s="7">
        <v>2</v>
      </c>
      <c r="BD42">
        <v>8</v>
      </c>
      <c r="BE42" s="8">
        <f t="shared" si="7"/>
        <v>10</v>
      </c>
      <c r="BF42" s="7">
        <v>1.5</v>
      </c>
      <c r="BG42">
        <v>8</v>
      </c>
      <c r="BH42" s="8">
        <f t="shared" si="8"/>
        <v>9.5</v>
      </c>
      <c r="BI42">
        <f t="shared" si="9"/>
        <v>-0.5</v>
      </c>
    </row>
    <row r="43" spans="1:61">
      <c r="A43" t="s">
        <v>130</v>
      </c>
      <c r="B43">
        <v>16</v>
      </c>
      <c r="C43" t="s">
        <v>91</v>
      </c>
      <c r="D43" t="s">
        <v>89</v>
      </c>
      <c r="E43" t="s">
        <v>85</v>
      </c>
      <c r="F43" t="s">
        <v>86</v>
      </c>
      <c r="G43" t="s">
        <v>86</v>
      </c>
      <c r="H43" t="s">
        <v>86</v>
      </c>
      <c r="J43" s="7">
        <v>2</v>
      </c>
      <c r="K43">
        <v>2</v>
      </c>
      <c r="L43">
        <v>6</v>
      </c>
      <c r="M43">
        <v>6</v>
      </c>
      <c r="N43">
        <v>6</v>
      </c>
      <c r="O43">
        <v>2</v>
      </c>
      <c r="P43">
        <v>2</v>
      </c>
      <c r="Q43">
        <v>2</v>
      </c>
      <c r="R43" s="8">
        <f t="shared" si="0"/>
        <v>6</v>
      </c>
      <c r="T43" s="7">
        <v>5</v>
      </c>
      <c r="U43">
        <v>3</v>
      </c>
      <c r="V43">
        <v>2</v>
      </c>
      <c r="W43">
        <v>5</v>
      </c>
      <c r="X43">
        <v>2</v>
      </c>
      <c r="Y43">
        <v>2</v>
      </c>
      <c r="Z43">
        <v>2</v>
      </c>
      <c r="AA43">
        <v>2</v>
      </c>
      <c r="AB43">
        <v>3</v>
      </c>
      <c r="AC43">
        <v>1</v>
      </c>
      <c r="AD43">
        <v>2</v>
      </c>
      <c r="AE43">
        <v>4</v>
      </c>
      <c r="AF43">
        <v>1</v>
      </c>
      <c r="AG43">
        <v>1</v>
      </c>
      <c r="AH43" s="8">
        <f t="shared" si="1"/>
        <v>3.07142857142857</v>
      </c>
      <c r="AJ43" s="7">
        <v>4</v>
      </c>
      <c r="AK43">
        <v>3</v>
      </c>
      <c r="AL43">
        <v>6</v>
      </c>
      <c r="AM43">
        <v>2</v>
      </c>
      <c r="AN43">
        <v>4</v>
      </c>
      <c r="AO43">
        <v>4</v>
      </c>
      <c r="AP43">
        <v>4</v>
      </c>
      <c r="AQ43">
        <v>6</v>
      </c>
      <c r="AR43" s="8">
        <f t="shared" si="2"/>
        <v>4.125</v>
      </c>
      <c r="AT43" s="7">
        <v>7</v>
      </c>
      <c r="AU43">
        <v>7</v>
      </c>
      <c r="AV43">
        <v>1</v>
      </c>
      <c r="AW43">
        <v>7</v>
      </c>
      <c r="AX43">
        <v>1</v>
      </c>
      <c r="AY43">
        <v>1</v>
      </c>
      <c r="AZ43">
        <v>3</v>
      </c>
      <c r="BA43" s="8">
        <f t="shared" si="3"/>
        <v>5</v>
      </c>
      <c r="BC43" s="7">
        <v>2</v>
      </c>
      <c r="BD43">
        <v>5.5</v>
      </c>
      <c r="BE43" s="8">
        <f t="shared" si="7"/>
        <v>7.5</v>
      </c>
      <c r="BF43" s="7">
        <v>0.5</v>
      </c>
      <c r="BG43">
        <v>5.5</v>
      </c>
      <c r="BH43" s="8">
        <f t="shared" si="8"/>
        <v>6</v>
      </c>
      <c r="BI43">
        <f t="shared" si="9"/>
        <v>-1.5</v>
      </c>
    </row>
    <row r="44" spans="1:61">
      <c r="A44" t="s">
        <v>131</v>
      </c>
      <c r="B44">
        <v>16</v>
      </c>
      <c r="C44" t="s">
        <v>91</v>
      </c>
      <c r="D44" t="s">
        <v>89</v>
      </c>
      <c r="E44" t="s">
        <v>85</v>
      </c>
      <c r="F44" t="s">
        <v>87</v>
      </c>
      <c r="G44" t="s">
        <v>87</v>
      </c>
      <c r="H44" t="s">
        <v>86</v>
      </c>
      <c r="J44" s="7">
        <v>5</v>
      </c>
      <c r="K44">
        <v>4</v>
      </c>
      <c r="L44">
        <v>6</v>
      </c>
      <c r="M44">
        <v>6</v>
      </c>
      <c r="N44">
        <v>6</v>
      </c>
      <c r="O44">
        <v>4</v>
      </c>
      <c r="P44">
        <v>2</v>
      </c>
      <c r="Q44">
        <v>2</v>
      </c>
      <c r="R44" s="8">
        <f t="shared" si="0"/>
        <v>5.125</v>
      </c>
      <c r="T44" s="7">
        <v>7</v>
      </c>
      <c r="U44">
        <v>7</v>
      </c>
      <c r="V44">
        <v>3</v>
      </c>
      <c r="W44">
        <v>4</v>
      </c>
      <c r="X44">
        <v>5</v>
      </c>
      <c r="Y44">
        <v>5</v>
      </c>
      <c r="Z44">
        <v>3</v>
      </c>
      <c r="AA44">
        <v>3</v>
      </c>
      <c r="AB44">
        <v>2</v>
      </c>
      <c r="AC44">
        <v>5</v>
      </c>
      <c r="AD44">
        <v>5</v>
      </c>
      <c r="AE44">
        <v>3</v>
      </c>
      <c r="AF44">
        <v>4</v>
      </c>
      <c r="AG44">
        <v>1</v>
      </c>
      <c r="AH44" s="8">
        <f t="shared" si="1"/>
        <v>4.35714285714286</v>
      </c>
      <c r="AJ44" s="7">
        <v>2</v>
      </c>
      <c r="AK44">
        <v>1</v>
      </c>
      <c r="AL44">
        <v>2</v>
      </c>
      <c r="AM44">
        <v>4</v>
      </c>
      <c r="AN44">
        <v>4</v>
      </c>
      <c r="AO44">
        <v>5</v>
      </c>
      <c r="AP44">
        <v>5</v>
      </c>
      <c r="AQ44">
        <v>5</v>
      </c>
      <c r="AR44" s="8">
        <f t="shared" si="2"/>
        <v>3.5</v>
      </c>
      <c r="AT44" s="7">
        <v>5</v>
      </c>
      <c r="AU44">
        <v>5</v>
      </c>
      <c r="AV44">
        <v>2</v>
      </c>
      <c r="AW44">
        <v>5</v>
      </c>
      <c r="AX44">
        <v>4</v>
      </c>
      <c r="AY44">
        <v>3</v>
      </c>
      <c r="AZ44">
        <v>6</v>
      </c>
      <c r="BA44" s="8">
        <f t="shared" si="3"/>
        <v>4.28571428571429</v>
      </c>
      <c r="BC44" s="7">
        <v>2</v>
      </c>
      <c r="BD44">
        <v>7</v>
      </c>
      <c r="BE44" s="8">
        <f t="shared" si="7"/>
        <v>9</v>
      </c>
      <c r="BF44" s="7">
        <v>1</v>
      </c>
      <c r="BG44">
        <v>5.5</v>
      </c>
      <c r="BH44" s="8">
        <f t="shared" si="8"/>
        <v>6.5</v>
      </c>
      <c r="BI44">
        <f t="shared" si="9"/>
        <v>-2.5</v>
      </c>
    </row>
    <row r="45" spans="1:61">
      <c r="A45" t="s">
        <v>132</v>
      </c>
      <c r="B45">
        <v>16</v>
      </c>
      <c r="C45" t="s">
        <v>91</v>
      </c>
      <c r="D45" t="s">
        <v>89</v>
      </c>
      <c r="E45" t="s">
        <v>108</v>
      </c>
      <c r="F45" t="s">
        <v>86</v>
      </c>
      <c r="G45" t="s">
        <v>87</v>
      </c>
      <c r="H45" t="s">
        <v>86</v>
      </c>
      <c r="J45" s="7">
        <v>2</v>
      </c>
      <c r="K45">
        <v>2</v>
      </c>
      <c r="L45">
        <v>4</v>
      </c>
      <c r="M45">
        <v>5</v>
      </c>
      <c r="N45">
        <v>5</v>
      </c>
      <c r="O45">
        <v>1</v>
      </c>
      <c r="P45">
        <v>1</v>
      </c>
      <c r="Q45">
        <v>1</v>
      </c>
      <c r="R45" s="8">
        <f t="shared" si="0"/>
        <v>5.875</v>
      </c>
      <c r="T45" s="7">
        <v>7</v>
      </c>
      <c r="U45">
        <v>7</v>
      </c>
      <c r="V45">
        <v>4</v>
      </c>
      <c r="W45">
        <v>1</v>
      </c>
      <c r="X45">
        <v>7</v>
      </c>
      <c r="Y45">
        <v>7</v>
      </c>
      <c r="Z45">
        <v>4</v>
      </c>
      <c r="AA45">
        <v>2</v>
      </c>
      <c r="AB45">
        <v>2</v>
      </c>
      <c r="AC45">
        <v>5</v>
      </c>
      <c r="AD45">
        <v>2</v>
      </c>
      <c r="AE45">
        <v>6</v>
      </c>
      <c r="AF45">
        <v>6</v>
      </c>
      <c r="AG45">
        <v>1</v>
      </c>
      <c r="AH45" s="8">
        <f t="shared" si="1"/>
        <v>5.35714285714286</v>
      </c>
      <c r="AJ45" s="7">
        <v>6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4</v>
      </c>
      <c r="AQ45">
        <v>6</v>
      </c>
      <c r="AR45" s="8">
        <f t="shared" si="2"/>
        <v>5.75</v>
      </c>
      <c r="AT45" s="7">
        <v>5</v>
      </c>
      <c r="AU45">
        <v>6</v>
      </c>
      <c r="AV45">
        <v>5</v>
      </c>
      <c r="AW45">
        <v>5</v>
      </c>
      <c r="AX45">
        <v>5</v>
      </c>
      <c r="AY45">
        <v>3</v>
      </c>
      <c r="AZ45">
        <v>3</v>
      </c>
      <c r="BA45" s="8">
        <f t="shared" si="3"/>
        <v>4.57142857142857</v>
      </c>
      <c r="BC45" s="7">
        <v>1</v>
      </c>
      <c r="BD45">
        <v>7</v>
      </c>
      <c r="BE45" s="8">
        <f t="shared" si="7"/>
        <v>8</v>
      </c>
      <c r="BF45" s="7">
        <v>0</v>
      </c>
      <c r="BG45">
        <v>4</v>
      </c>
      <c r="BH45" s="8">
        <f t="shared" si="8"/>
        <v>4</v>
      </c>
      <c r="BI45">
        <f t="shared" si="9"/>
        <v>-4</v>
      </c>
    </row>
    <row r="46" spans="1:61">
      <c r="A46" t="s">
        <v>133</v>
      </c>
      <c r="B46">
        <v>16</v>
      </c>
      <c r="C46" t="s">
        <v>83</v>
      </c>
      <c r="D46" t="s">
        <v>84</v>
      </c>
      <c r="E46" t="s">
        <v>85</v>
      </c>
      <c r="F46" t="s">
        <v>87</v>
      </c>
      <c r="G46" t="s">
        <v>87</v>
      </c>
      <c r="H46" t="s">
        <v>87</v>
      </c>
      <c r="J46" s="7">
        <v>2</v>
      </c>
      <c r="K46">
        <v>2</v>
      </c>
      <c r="L46">
        <v>6</v>
      </c>
      <c r="M46">
        <v>6</v>
      </c>
      <c r="N46">
        <v>6</v>
      </c>
      <c r="O46">
        <v>2</v>
      </c>
      <c r="P46">
        <v>2</v>
      </c>
      <c r="Q46">
        <v>2</v>
      </c>
      <c r="R46" s="8">
        <f t="shared" si="0"/>
        <v>6</v>
      </c>
      <c r="T46" s="7">
        <v>5</v>
      </c>
      <c r="U46">
        <v>4</v>
      </c>
      <c r="V46">
        <v>3</v>
      </c>
      <c r="W46">
        <v>3</v>
      </c>
      <c r="X46">
        <v>5</v>
      </c>
      <c r="Y46">
        <v>5</v>
      </c>
      <c r="Z46">
        <v>7</v>
      </c>
      <c r="AA46">
        <v>1</v>
      </c>
      <c r="AB46">
        <v>4</v>
      </c>
      <c r="AC46">
        <v>4</v>
      </c>
      <c r="AD46">
        <v>3</v>
      </c>
      <c r="AE46">
        <v>5</v>
      </c>
      <c r="AF46">
        <v>4</v>
      </c>
      <c r="AG46">
        <v>2</v>
      </c>
      <c r="AH46" s="8">
        <f t="shared" si="1"/>
        <v>4.35714285714286</v>
      </c>
      <c r="AJ46" s="7">
        <v>3</v>
      </c>
      <c r="AK46">
        <v>4</v>
      </c>
      <c r="AL46">
        <v>5</v>
      </c>
      <c r="AM46">
        <v>5</v>
      </c>
      <c r="AN46">
        <v>4</v>
      </c>
      <c r="AO46">
        <v>5</v>
      </c>
      <c r="AP46">
        <v>5</v>
      </c>
      <c r="AQ46">
        <v>5</v>
      </c>
      <c r="AR46" s="8">
        <f t="shared" si="2"/>
        <v>4.5</v>
      </c>
      <c r="AT46" s="7">
        <v>5</v>
      </c>
      <c r="AU46">
        <v>5</v>
      </c>
      <c r="AV46">
        <v>2</v>
      </c>
      <c r="AW46">
        <v>7</v>
      </c>
      <c r="AX46">
        <v>7</v>
      </c>
      <c r="AY46">
        <v>6</v>
      </c>
      <c r="AZ46">
        <v>1</v>
      </c>
      <c r="BA46" s="8">
        <f t="shared" si="3"/>
        <v>6.14285714285714</v>
      </c>
      <c r="BC46" s="7">
        <v>2</v>
      </c>
      <c r="BD46">
        <v>7</v>
      </c>
      <c r="BE46" s="8">
        <f t="shared" si="7"/>
        <v>9</v>
      </c>
      <c r="BF46" s="7">
        <v>2</v>
      </c>
      <c r="BG46">
        <v>7</v>
      </c>
      <c r="BH46" s="8">
        <f t="shared" ref="BH46:BH52" si="10">SUM(BF46:BG46)</f>
        <v>9</v>
      </c>
      <c r="BI46">
        <f t="shared" ref="BI46:BI52" si="11">BH46-BE46</f>
        <v>0</v>
      </c>
    </row>
    <row r="47" spans="1:61">
      <c r="A47" t="s">
        <v>134</v>
      </c>
      <c r="B47">
        <v>16</v>
      </c>
      <c r="C47" t="s">
        <v>83</v>
      </c>
      <c r="D47" t="s">
        <v>84</v>
      </c>
      <c r="E47" t="s">
        <v>85</v>
      </c>
      <c r="F47" t="s">
        <v>87</v>
      </c>
      <c r="G47" t="s">
        <v>87</v>
      </c>
      <c r="H47" t="s">
        <v>86</v>
      </c>
      <c r="J47" s="7">
        <v>4</v>
      </c>
      <c r="K47">
        <v>3</v>
      </c>
      <c r="L47">
        <v>5</v>
      </c>
      <c r="M47">
        <v>7</v>
      </c>
      <c r="N47">
        <v>7</v>
      </c>
      <c r="O47">
        <v>2</v>
      </c>
      <c r="P47">
        <v>2</v>
      </c>
      <c r="Q47">
        <v>3</v>
      </c>
      <c r="R47" s="8">
        <f t="shared" si="0"/>
        <v>5.625</v>
      </c>
      <c r="T47" s="7">
        <v>6</v>
      </c>
      <c r="U47">
        <v>6</v>
      </c>
      <c r="V47">
        <v>4</v>
      </c>
      <c r="W47">
        <v>2</v>
      </c>
      <c r="X47">
        <v>3</v>
      </c>
      <c r="Y47">
        <v>4</v>
      </c>
      <c r="Z47">
        <v>5</v>
      </c>
      <c r="AA47">
        <v>5</v>
      </c>
      <c r="AB47">
        <v>3</v>
      </c>
      <c r="AC47">
        <v>5</v>
      </c>
      <c r="AD47">
        <v>6</v>
      </c>
      <c r="AE47">
        <v>6</v>
      </c>
      <c r="AF47">
        <v>4</v>
      </c>
      <c r="AG47">
        <v>2</v>
      </c>
      <c r="AH47" s="8">
        <f t="shared" si="1"/>
        <v>4.5</v>
      </c>
      <c r="AJ47" s="7">
        <v>3</v>
      </c>
      <c r="AK47">
        <v>4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 s="8">
        <f t="shared" si="2"/>
        <v>4.625</v>
      </c>
      <c r="AT47" s="7">
        <v>5</v>
      </c>
      <c r="AU47">
        <v>5</v>
      </c>
      <c r="AV47">
        <v>2</v>
      </c>
      <c r="AW47">
        <v>7</v>
      </c>
      <c r="AX47">
        <v>7</v>
      </c>
      <c r="AY47">
        <v>4</v>
      </c>
      <c r="AZ47">
        <v>1</v>
      </c>
      <c r="BA47" s="8">
        <f t="shared" si="3"/>
        <v>5.85714285714286</v>
      </c>
      <c r="BC47" s="7">
        <v>1.5</v>
      </c>
      <c r="BD47">
        <v>6.5</v>
      </c>
      <c r="BE47" s="8">
        <f t="shared" ref="BE47:BE52" si="12">SUM(BC47:BD47)</f>
        <v>8</v>
      </c>
      <c r="BF47" s="7">
        <v>2</v>
      </c>
      <c r="BG47">
        <v>7</v>
      </c>
      <c r="BH47" s="8">
        <f t="shared" si="10"/>
        <v>9</v>
      </c>
      <c r="BI47">
        <f t="shared" si="11"/>
        <v>1</v>
      </c>
    </row>
    <row r="48" s="6" customFormat="1" spans="1:61">
      <c r="A48" s="6" t="s">
        <v>139</v>
      </c>
      <c r="B48" s="6">
        <v>15</v>
      </c>
      <c r="C48" s="6" t="s">
        <v>91</v>
      </c>
      <c r="D48" s="6" t="s">
        <v>89</v>
      </c>
      <c r="E48" s="6" t="s">
        <v>108</v>
      </c>
      <c r="F48" s="6" t="s">
        <v>86</v>
      </c>
      <c r="G48" s="6" t="s">
        <v>87</v>
      </c>
      <c r="H48" s="6" t="s">
        <v>86</v>
      </c>
      <c r="J48" s="23">
        <v>6</v>
      </c>
      <c r="K48" s="6">
        <v>6</v>
      </c>
      <c r="L48" s="6">
        <v>6</v>
      </c>
      <c r="M48" s="6">
        <v>6</v>
      </c>
      <c r="N48" s="6">
        <v>6</v>
      </c>
      <c r="O48" s="6">
        <v>6</v>
      </c>
      <c r="P48" s="6">
        <v>6</v>
      </c>
      <c r="Q48" s="6">
        <v>6</v>
      </c>
      <c r="R48" s="8">
        <f t="shared" si="0"/>
        <v>3.5</v>
      </c>
      <c r="T48" s="23">
        <v>7</v>
      </c>
      <c r="U48" s="6">
        <v>7</v>
      </c>
      <c r="V48" s="6">
        <v>7</v>
      </c>
      <c r="W48" s="6">
        <v>7</v>
      </c>
      <c r="X48" s="6">
        <v>7</v>
      </c>
      <c r="Y48" s="6">
        <v>7</v>
      </c>
      <c r="Z48" s="6">
        <v>7</v>
      </c>
      <c r="AA48" s="6">
        <v>7</v>
      </c>
      <c r="AB48" s="6">
        <v>7</v>
      </c>
      <c r="AC48" s="6">
        <v>3</v>
      </c>
      <c r="AD48" s="6">
        <v>4</v>
      </c>
      <c r="AE48" s="6">
        <v>5</v>
      </c>
      <c r="AF48" s="6">
        <v>1</v>
      </c>
      <c r="AG48" s="6">
        <v>1</v>
      </c>
      <c r="AH48" s="8">
        <f t="shared" si="1"/>
        <v>4.21428571428571</v>
      </c>
      <c r="AJ48" s="23">
        <v>3</v>
      </c>
      <c r="AK48" s="6">
        <v>4</v>
      </c>
      <c r="AL48" s="6">
        <v>3</v>
      </c>
      <c r="AM48" s="6">
        <v>5</v>
      </c>
      <c r="AN48" s="6">
        <v>6</v>
      </c>
      <c r="AO48" s="6">
        <v>4</v>
      </c>
      <c r="AP48" s="6">
        <v>2</v>
      </c>
      <c r="AQ48" s="6">
        <v>5</v>
      </c>
      <c r="AR48" s="8">
        <f t="shared" si="2"/>
        <v>4</v>
      </c>
      <c r="AT48" s="23">
        <v>3</v>
      </c>
      <c r="AU48" s="6">
        <v>5</v>
      </c>
      <c r="AV48" s="6">
        <v>3</v>
      </c>
      <c r="AW48" s="6">
        <v>4</v>
      </c>
      <c r="AX48" s="6">
        <v>6</v>
      </c>
      <c r="AY48" s="6">
        <v>1</v>
      </c>
      <c r="AZ48" s="6">
        <v>7</v>
      </c>
      <c r="BA48" s="8">
        <f t="shared" si="3"/>
        <v>3.57142857142857</v>
      </c>
      <c r="BC48" s="23">
        <v>0.5</v>
      </c>
      <c r="BD48" s="6">
        <v>1.5</v>
      </c>
      <c r="BE48" s="24">
        <f t="shared" si="12"/>
        <v>2</v>
      </c>
      <c r="BF48" s="23">
        <v>0.5</v>
      </c>
      <c r="BG48" s="6">
        <v>4</v>
      </c>
      <c r="BH48" s="24">
        <f t="shared" si="10"/>
        <v>4.5</v>
      </c>
      <c r="BI48" s="6">
        <f t="shared" si="11"/>
        <v>2.5</v>
      </c>
    </row>
    <row r="49" spans="1:61">
      <c r="A49" t="s">
        <v>136</v>
      </c>
      <c r="B49">
        <v>14</v>
      </c>
      <c r="C49" t="s">
        <v>91</v>
      </c>
      <c r="D49" t="s">
        <v>89</v>
      </c>
      <c r="E49" t="s">
        <v>85</v>
      </c>
      <c r="F49" t="s">
        <v>86</v>
      </c>
      <c r="G49" t="s">
        <v>87</v>
      </c>
      <c r="H49" t="s">
        <v>86</v>
      </c>
      <c r="J49" s="7">
        <v>2</v>
      </c>
      <c r="K49">
        <v>2</v>
      </c>
      <c r="L49">
        <v>3</v>
      </c>
      <c r="M49">
        <v>2</v>
      </c>
      <c r="N49">
        <v>5</v>
      </c>
      <c r="O49">
        <v>2</v>
      </c>
      <c r="P49">
        <v>2</v>
      </c>
      <c r="Q49">
        <v>2</v>
      </c>
      <c r="R49" s="8">
        <f t="shared" si="0"/>
        <v>5</v>
      </c>
      <c r="T49" s="7">
        <v>6</v>
      </c>
      <c r="U49">
        <v>6</v>
      </c>
      <c r="V49">
        <v>4</v>
      </c>
      <c r="W49">
        <v>6</v>
      </c>
      <c r="X49">
        <v>4</v>
      </c>
      <c r="Y49">
        <v>5</v>
      </c>
      <c r="Z49">
        <v>4</v>
      </c>
      <c r="AA49">
        <v>4</v>
      </c>
      <c r="AB49">
        <v>6</v>
      </c>
      <c r="AC49">
        <v>2</v>
      </c>
      <c r="AD49">
        <v>4</v>
      </c>
      <c r="AE49">
        <v>6</v>
      </c>
      <c r="AF49">
        <v>5</v>
      </c>
      <c r="AG49">
        <v>4</v>
      </c>
      <c r="AH49" s="8">
        <f t="shared" si="1"/>
        <v>4.14285714285714</v>
      </c>
      <c r="AJ49" s="7">
        <v>2</v>
      </c>
      <c r="AK49">
        <v>5</v>
      </c>
      <c r="AL49">
        <v>4</v>
      </c>
      <c r="AM49">
        <v>3</v>
      </c>
      <c r="AN49">
        <v>2</v>
      </c>
      <c r="AO49">
        <v>4</v>
      </c>
      <c r="AP49">
        <v>4</v>
      </c>
      <c r="AQ49">
        <v>5</v>
      </c>
      <c r="AR49" s="8">
        <f t="shared" si="2"/>
        <v>3.625</v>
      </c>
      <c r="AT49" s="7">
        <v>6</v>
      </c>
      <c r="AU49">
        <v>5</v>
      </c>
      <c r="AV49">
        <v>4</v>
      </c>
      <c r="AW49">
        <v>3</v>
      </c>
      <c r="AX49">
        <v>4</v>
      </c>
      <c r="AY49">
        <v>6</v>
      </c>
      <c r="AZ49">
        <v>2</v>
      </c>
      <c r="BA49" s="8">
        <f t="shared" si="3"/>
        <v>4.85714285714286</v>
      </c>
      <c r="BC49" s="7">
        <v>1.5</v>
      </c>
      <c r="BD49">
        <v>7</v>
      </c>
      <c r="BE49" s="8">
        <f t="shared" si="12"/>
        <v>8.5</v>
      </c>
      <c r="BF49" s="7">
        <v>2</v>
      </c>
      <c r="BG49">
        <v>6</v>
      </c>
      <c r="BH49" s="8">
        <f t="shared" si="10"/>
        <v>8</v>
      </c>
      <c r="BI49">
        <f t="shared" si="11"/>
        <v>-0.5</v>
      </c>
    </row>
    <row r="50" spans="1:61">
      <c r="A50" t="s">
        <v>137</v>
      </c>
      <c r="B50">
        <v>14</v>
      </c>
      <c r="C50" t="s">
        <v>91</v>
      </c>
      <c r="D50" t="s">
        <v>84</v>
      </c>
      <c r="E50" t="s">
        <v>108</v>
      </c>
      <c r="F50" t="s">
        <v>86</v>
      </c>
      <c r="G50" t="s">
        <v>87</v>
      </c>
      <c r="H50" t="s">
        <v>86</v>
      </c>
      <c r="J50" s="7">
        <v>6</v>
      </c>
      <c r="K50">
        <v>5</v>
      </c>
      <c r="L50">
        <v>5</v>
      </c>
      <c r="M50">
        <v>6</v>
      </c>
      <c r="N50">
        <v>7</v>
      </c>
      <c r="O50">
        <v>4</v>
      </c>
      <c r="P50">
        <v>3</v>
      </c>
      <c r="Q50">
        <v>2</v>
      </c>
      <c r="R50" s="8">
        <f t="shared" si="0"/>
        <v>4.75</v>
      </c>
      <c r="T50" s="7">
        <v>7</v>
      </c>
      <c r="U50">
        <v>7</v>
      </c>
      <c r="V50">
        <v>5</v>
      </c>
      <c r="W50">
        <v>3</v>
      </c>
      <c r="X50">
        <v>7</v>
      </c>
      <c r="Y50">
        <v>7</v>
      </c>
      <c r="Z50">
        <v>5</v>
      </c>
      <c r="AA50">
        <v>3</v>
      </c>
      <c r="AB50">
        <v>6</v>
      </c>
      <c r="AC50">
        <v>5</v>
      </c>
      <c r="AD50">
        <v>2</v>
      </c>
      <c r="AE50">
        <v>4</v>
      </c>
      <c r="AF50">
        <v>2</v>
      </c>
      <c r="AG50">
        <v>6</v>
      </c>
      <c r="AH50" s="8">
        <f t="shared" si="1"/>
        <v>4.92857142857143</v>
      </c>
      <c r="AJ50" s="7">
        <v>6</v>
      </c>
      <c r="AK50">
        <v>6</v>
      </c>
      <c r="AL50">
        <v>6</v>
      </c>
      <c r="AM50">
        <v>6</v>
      </c>
      <c r="AN50">
        <v>7</v>
      </c>
      <c r="AO50">
        <v>6</v>
      </c>
      <c r="AP50">
        <v>5</v>
      </c>
      <c r="AQ50">
        <v>6</v>
      </c>
      <c r="AR50" s="8">
        <f t="shared" si="2"/>
        <v>6</v>
      </c>
      <c r="AT50" s="7">
        <v>7</v>
      </c>
      <c r="AU50">
        <v>6</v>
      </c>
      <c r="AV50">
        <v>7</v>
      </c>
      <c r="AW50">
        <v>6</v>
      </c>
      <c r="AX50">
        <v>7</v>
      </c>
      <c r="AY50">
        <v>5</v>
      </c>
      <c r="AZ50">
        <v>7</v>
      </c>
      <c r="BA50" s="8">
        <f t="shared" si="3"/>
        <v>4.71428571428571</v>
      </c>
      <c r="BC50" s="7">
        <v>1</v>
      </c>
      <c r="BD50">
        <v>5</v>
      </c>
      <c r="BE50" s="8">
        <f t="shared" si="12"/>
        <v>6</v>
      </c>
      <c r="BF50" s="7">
        <v>1</v>
      </c>
      <c r="BG50">
        <v>2</v>
      </c>
      <c r="BH50" s="8">
        <f t="shared" si="10"/>
        <v>3</v>
      </c>
      <c r="BI50">
        <f t="shared" si="11"/>
        <v>-3</v>
      </c>
    </row>
    <row r="51" spans="1:61">
      <c r="A51" t="s">
        <v>187</v>
      </c>
      <c r="B51">
        <v>14</v>
      </c>
      <c r="C51" t="s">
        <v>91</v>
      </c>
      <c r="D51" t="s">
        <v>84</v>
      </c>
      <c r="E51" t="s">
        <v>85</v>
      </c>
      <c r="F51" t="s">
        <v>87</v>
      </c>
      <c r="G51" t="s">
        <v>87</v>
      </c>
      <c r="H51" t="s">
        <v>86</v>
      </c>
      <c r="R51" s="8">
        <f t="shared" si="0"/>
        <v>5</v>
      </c>
      <c r="AH51" s="8">
        <f t="shared" si="1"/>
        <v>2.28571428571429</v>
      </c>
      <c r="AR51" s="8" t="e">
        <f t="shared" si="2"/>
        <v>#DIV/0!</v>
      </c>
      <c r="BA51" s="8">
        <f t="shared" si="3"/>
        <v>2.28571428571429</v>
      </c>
      <c r="BC51" s="7">
        <v>0</v>
      </c>
      <c r="BD51">
        <v>4</v>
      </c>
      <c r="BE51" s="8">
        <f t="shared" si="12"/>
        <v>4</v>
      </c>
      <c r="BH51" s="8">
        <f t="shared" si="10"/>
        <v>0</v>
      </c>
      <c r="BI51">
        <f t="shared" si="11"/>
        <v>-4</v>
      </c>
    </row>
    <row r="52" spans="1:61">
      <c r="A52" t="s">
        <v>188</v>
      </c>
      <c r="B52">
        <v>14</v>
      </c>
      <c r="C52" t="s">
        <v>91</v>
      </c>
      <c r="R52" s="8">
        <f t="shared" si="0"/>
        <v>5</v>
      </c>
      <c r="AH52" s="8">
        <f t="shared" si="1"/>
        <v>2.28571428571429</v>
      </c>
      <c r="AR52" s="8" t="e">
        <f t="shared" si="2"/>
        <v>#DIV/0!</v>
      </c>
      <c r="BA52" s="8">
        <f t="shared" si="3"/>
        <v>2.28571428571429</v>
      </c>
      <c r="BC52" s="7">
        <v>1</v>
      </c>
      <c r="BD52">
        <v>7.5</v>
      </c>
      <c r="BE52" s="8">
        <f t="shared" si="12"/>
        <v>8.5</v>
      </c>
      <c r="BH52" s="8">
        <f t="shared" si="10"/>
        <v>0</v>
      </c>
      <c r="BI52">
        <f t="shared" si="11"/>
        <v>-8.5</v>
      </c>
    </row>
  </sheetData>
  <mergeCells count="15">
    <mergeCell ref="J1:R1"/>
    <mergeCell ref="T1:AH1"/>
    <mergeCell ref="AJ1:AR1"/>
    <mergeCell ref="AT1:BA1"/>
    <mergeCell ref="BC1:BE1"/>
    <mergeCell ref="BF1:BH1"/>
    <mergeCell ref="A1:A2"/>
    <mergeCell ref="B1:B2"/>
    <mergeCell ref="C1:C2"/>
    <mergeCell ref="D1:D2"/>
    <mergeCell ref="E1:E2"/>
    <mergeCell ref="F1:F2"/>
    <mergeCell ref="G1:G2"/>
    <mergeCell ref="H1:H2"/>
    <mergeCell ref="BI1:BI2"/>
  </mergeCells>
  <dataValidations count="6">
    <dataValidation type="list" allowBlank="1" showInputMessage="1" showErrorMessage="1" sqref="H71 F3:H30 G31:H70">
      <formula1>"有,无"</formula1>
    </dataValidation>
    <dataValidation type="list" allowBlank="1" showInputMessage="1" showErrorMessage="1" sqref="B3:B69">
      <formula1>"14,15,16,17,18,20,21,22,23,24"</formula1>
    </dataValidation>
    <dataValidation type="list" allowBlank="1" showInputMessage="1" showErrorMessage="1" sqref="C3:C61">
      <formula1>"男,女"</formula1>
    </dataValidation>
    <dataValidation type="list" allowBlank="1" showInputMessage="1" showErrorMessage="1" sqref="D3:D69">
      <formula1>"实验组,对照组"</formula1>
    </dataValidation>
    <dataValidation type="list" allowBlank="1" showInputMessage="1" showErrorMessage="1" sqref="E3:E71">
      <formula1>"左,右"</formula1>
    </dataValidation>
    <dataValidation type="list" allowBlank="1" showInputMessage="1" showErrorMessage="1" sqref="F31:F71">
      <formula1>"无,有"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zoomScale="85" zoomScaleNormal="85" workbookViewId="0">
      <selection activeCell="Q29" sqref="Q29"/>
    </sheetView>
  </sheetViews>
  <sheetFormatPr defaultColWidth="8.78181818181818" defaultRowHeight="14"/>
  <sheetData>
    <row r="1" ht="14.5" spans="1:18">
      <c r="A1" t="s">
        <v>0</v>
      </c>
      <c r="B1" t="s">
        <v>1</v>
      </c>
      <c r="C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2"/>
    </row>
    <row r="2" ht="14.5" spans="1:18">
      <c r="A2" t="s">
        <v>82</v>
      </c>
      <c r="B2">
        <v>16</v>
      </c>
      <c r="C2">
        <v>1</v>
      </c>
      <c r="D2" s="1" t="s">
        <v>189</v>
      </c>
      <c r="E2" s="1" t="s">
        <v>190</v>
      </c>
      <c r="F2" s="1" t="s">
        <v>191</v>
      </c>
      <c r="G2" s="1" t="s">
        <v>189</v>
      </c>
      <c r="H2" s="1" t="s">
        <v>192</v>
      </c>
      <c r="I2" s="1" t="s">
        <v>189</v>
      </c>
      <c r="J2" s="1" t="s">
        <v>193</v>
      </c>
      <c r="K2" s="1" t="s">
        <v>189</v>
      </c>
      <c r="L2" s="1" t="s">
        <v>190</v>
      </c>
      <c r="M2" s="1" t="s">
        <v>191</v>
      </c>
      <c r="N2" s="1" t="s">
        <v>193</v>
      </c>
      <c r="O2" s="1" t="s">
        <v>189</v>
      </c>
      <c r="P2" s="1" t="s">
        <v>194</v>
      </c>
      <c r="Q2" s="1" t="s">
        <v>195</v>
      </c>
      <c r="R2" s="1" t="s">
        <v>196</v>
      </c>
    </row>
    <row r="3" ht="14.5" spans="1:18">
      <c r="A3" s="3" t="s">
        <v>88</v>
      </c>
      <c r="B3">
        <v>16</v>
      </c>
      <c r="C3">
        <v>1</v>
      </c>
      <c r="D3" s="1" t="s">
        <v>191</v>
      </c>
      <c r="E3" s="1" t="s">
        <v>189</v>
      </c>
      <c r="F3" s="1" t="s">
        <v>191</v>
      </c>
      <c r="G3" s="1" t="s">
        <v>197</v>
      </c>
      <c r="H3" s="1" t="s">
        <v>198</v>
      </c>
      <c r="I3" s="1" t="s">
        <v>191</v>
      </c>
      <c r="J3" s="1" t="s">
        <v>189</v>
      </c>
      <c r="K3" s="1" t="s">
        <v>189</v>
      </c>
      <c r="L3" s="1" t="s">
        <v>191</v>
      </c>
      <c r="M3" s="1" t="s">
        <v>197</v>
      </c>
      <c r="N3" s="1" t="s">
        <v>189</v>
      </c>
      <c r="O3" s="1" t="s">
        <v>191</v>
      </c>
      <c r="P3" s="1" t="s">
        <v>197</v>
      </c>
      <c r="Q3" s="1" t="s">
        <v>191</v>
      </c>
      <c r="R3" s="1" t="s">
        <v>199</v>
      </c>
    </row>
    <row r="4" ht="14.5" spans="1:18">
      <c r="A4" t="s">
        <v>90</v>
      </c>
      <c r="B4">
        <v>17</v>
      </c>
      <c r="C4">
        <v>0</v>
      </c>
      <c r="D4" s="1" t="s">
        <v>189</v>
      </c>
      <c r="E4" s="1" t="s">
        <v>193</v>
      </c>
      <c r="F4" s="1" t="s">
        <v>193</v>
      </c>
      <c r="G4" s="1" t="s">
        <v>193</v>
      </c>
      <c r="H4" s="1" t="s">
        <v>192</v>
      </c>
      <c r="I4" s="1" t="s">
        <v>189</v>
      </c>
      <c r="J4" s="1" t="s">
        <v>193</v>
      </c>
      <c r="K4" s="1" t="s">
        <v>189</v>
      </c>
      <c r="L4" s="1" t="s">
        <v>189</v>
      </c>
      <c r="M4" s="1" t="s">
        <v>189</v>
      </c>
      <c r="N4" s="1" t="s">
        <v>193</v>
      </c>
      <c r="O4" s="1" t="s">
        <v>189</v>
      </c>
      <c r="P4" s="1" t="s">
        <v>189</v>
      </c>
      <c r="Q4" s="1" t="s">
        <v>197</v>
      </c>
      <c r="R4" s="1" t="s">
        <v>200</v>
      </c>
    </row>
    <row r="5" ht="14.5" spans="1:18">
      <c r="A5" t="s">
        <v>92</v>
      </c>
      <c r="B5">
        <v>16</v>
      </c>
      <c r="C5">
        <v>0</v>
      </c>
      <c r="D5" s="1" t="s">
        <v>189</v>
      </c>
      <c r="E5" s="1" t="s">
        <v>193</v>
      </c>
      <c r="F5" s="1" t="s">
        <v>193</v>
      </c>
      <c r="G5" s="1" t="s">
        <v>193</v>
      </c>
      <c r="H5" s="1" t="s">
        <v>192</v>
      </c>
      <c r="I5" s="1" t="s">
        <v>189</v>
      </c>
      <c r="J5" s="1" t="s">
        <v>193</v>
      </c>
      <c r="K5" s="1" t="s">
        <v>189</v>
      </c>
      <c r="L5" s="1" t="s">
        <v>189</v>
      </c>
      <c r="M5" s="1" t="s">
        <v>189</v>
      </c>
      <c r="N5" s="1" t="s">
        <v>193</v>
      </c>
      <c r="O5" s="1" t="s">
        <v>189</v>
      </c>
      <c r="P5" s="1" t="s">
        <v>189</v>
      </c>
      <c r="Q5" s="1" t="s">
        <v>197</v>
      </c>
      <c r="R5" s="1" t="s">
        <v>201</v>
      </c>
    </row>
    <row r="6" ht="14.5" spans="1:18">
      <c r="A6" t="s">
        <v>93</v>
      </c>
      <c r="B6">
        <v>16</v>
      </c>
      <c r="C6">
        <v>0</v>
      </c>
      <c r="D6" s="1" t="s">
        <v>189</v>
      </c>
      <c r="E6" s="1" t="s">
        <v>193</v>
      </c>
      <c r="F6" s="1" t="s">
        <v>193</v>
      </c>
      <c r="G6" s="1" t="s">
        <v>193</v>
      </c>
      <c r="H6" s="1" t="s">
        <v>192</v>
      </c>
      <c r="I6" s="1" t="s">
        <v>189</v>
      </c>
      <c r="J6" s="1" t="s">
        <v>193</v>
      </c>
      <c r="K6" s="1" t="s">
        <v>189</v>
      </c>
      <c r="L6" s="1" t="s">
        <v>189</v>
      </c>
      <c r="M6" s="1" t="s">
        <v>189</v>
      </c>
      <c r="N6" s="1" t="s">
        <v>193</v>
      </c>
      <c r="O6" s="1" t="s">
        <v>189</v>
      </c>
      <c r="P6" s="1" t="s">
        <v>189</v>
      </c>
      <c r="Q6" s="1" t="s">
        <v>197</v>
      </c>
      <c r="R6" s="1" t="s">
        <v>202</v>
      </c>
    </row>
    <row r="7" ht="14.5" spans="1:18">
      <c r="A7" t="s">
        <v>94</v>
      </c>
      <c r="B7">
        <v>16</v>
      </c>
      <c r="C7">
        <v>0</v>
      </c>
      <c r="D7" s="1" t="s">
        <v>189</v>
      </c>
      <c r="E7" s="1" t="s">
        <v>189</v>
      </c>
      <c r="F7" s="1" t="s">
        <v>189</v>
      </c>
      <c r="G7" s="1" t="s">
        <v>193</v>
      </c>
      <c r="H7" s="1" t="s">
        <v>192</v>
      </c>
      <c r="I7" s="1" t="s">
        <v>191</v>
      </c>
      <c r="J7" s="1" t="s">
        <v>193</v>
      </c>
      <c r="K7" s="1" t="s">
        <v>189</v>
      </c>
      <c r="L7" s="1" t="s">
        <v>189</v>
      </c>
      <c r="M7" s="1" t="s">
        <v>189</v>
      </c>
      <c r="N7" s="1" t="s">
        <v>193</v>
      </c>
      <c r="O7" s="1" t="s">
        <v>193</v>
      </c>
      <c r="P7" s="1" t="s">
        <v>191</v>
      </c>
      <c r="Q7" s="1" t="s">
        <v>191</v>
      </c>
      <c r="R7" s="1" t="s">
        <v>203</v>
      </c>
    </row>
    <row r="8" ht="14.5" spans="1:18">
      <c r="A8" t="s">
        <v>95</v>
      </c>
      <c r="B8">
        <v>16</v>
      </c>
      <c r="C8">
        <v>0</v>
      </c>
      <c r="D8" s="1" t="s">
        <v>189</v>
      </c>
      <c r="E8" s="1" t="s">
        <v>189</v>
      </c>
      <c r="F8" s="1" t="s">
        <v>189</v>
      </c>
      <c r="G8" s="1" t="s">
        <v>193</v>
      </c>
      <c r="H8" s="1" t="s">
        <v>204</v>
      </c>
      <c r="I8" s="1" t="s">
        <v>189</v>
      </c>
      <c r="J8" s="1" t="s">
        <v>193</v>
      </c>
      <c r="K8" s="1" t="s">
        <v>189</v>
      </c>
      <c r="L8" s="1" t="s">
        <v>189</v>
      </c>
      <c r="M8" s="1" t="s">
        <v>189</v>
      </c>
      <c r="N8" s="1" t="s">
        <v>193</v>
      </c>
      <c r="O8" s="1" t="s">
        <v>191</v>
      </c>
      <c r="P8" s="1" t="s">
        <v>191</v>
      </c>
      <c r="Q8" s="1" t="s">
        <v>191</v>
      </c>
      <c r="R8" s="1" t="s">
        <v>205</v>
      </c>
    </row>
    <row r="9" ht="14.5" spans="1:18">
      <c r="A9" t="s">
        <v>96</v>
      </c>
      <c r="B9">
        <v>16</v>
      </c>
      <c r="C9">
        <v>0</v>
      </c>
      <c r="D9" s="1" t="s">
        <v>189</v>
      </c>
      <c r="E9" s="1" t="s">
        <v>189</v>
      </c>
      <c r="F9" s="1" t="s">
        <v>189</v>
      </c>
      <c r="G9" s="1" t="s">
        <v>189</v>
      </c>
      <c r="H9" s="1" t="s">
        <v>192</v>
      </c>
      <c r="I9" s="1" t="s">
        <v>189</v>
      </c>
      <c r="J9" s="1" t="s">
        <v>193</v>
      </c>
      <c r="K9" s="1" t="s">
        <v>189</v>
      </c>
      <c r="L9" s="1" t="s">
        <v>189</v>
      </c>
      <c r="M9" s="1" t="s">
        <v>191</v>
      </c>
      <c r="N9" s="1" t="s">
        <v>193</v>
      </c>
      <c r="O9" s="1" t="s">
        <v>189</v>
      </c>
      <c r="P9" s="1" t="s">
        <v>189</v>
      </c>
      <c r="Q9" s="1" t="s">
        <v>189</v>
      </c>
      <c r="R9" s="1" t="s">
        <v>206</v>
      </c>
    </row>
    <row r="10" ht="14.5" spans="1:18">
      <c r="A10" t="s">
        <v>97</v>
      </c>
      <c r="B10">
        <v>17</v>
      </c>
      <c r="C10">
        <v>0</v>
      </c>
      <c r="D10" s="1" t="s">
        <v>189</v>
      </c>
      <c r="E10" s="1" t="s">
        <v>191</v>
      </c>
      <c r="F10" s="1" t="s">
        <v>191</v>
      </c>
      <c r="G10" s="1" t="s">
        <v>189</v>
      </c>
      <c r="H10" s="1" t="s">
        <v>207</v>
      </c>
      <c r="I10" s="1" t="s">
        <v>197</v>
      </c>
      <c r="J10" s="1" t="s">
        <v>193</v>
      </c>
      <c r="K10" s="1" t="s">
        <v>193</v>
      </c>
      <c r="L10" s="1" t="s">
        <v>189</v>
      </c>
      <c r="M10" s="1" t="s">
        <v>189</v>
      </c>
      <c r="N10" s="1" t="s">
        <v>193</v>
      </c>
      <c r="O10" s="1" t="s">
        <v>189</v>
      </c>
      <c r="P10" s="1" t="s">
        <v>189</v>
      </c>
      <c r="Q10" s="1" t="s">
        <v>190</v>
      </c>
      <c r="R10" s="1" t="s">
        <v>208</v>
      </c>
    </row>
    <row r="11" ht="14.5" spans="1:18">
      <c r="A11" t="s">
        <v>98</v>
      </c>
      <c r="B11">
        <v>16</v>
      </c>
      <c r="C11">
        <v>0</v>
      </c>
      <c r="D11" s="1" t="s">
        <v>189</v>
      </c>
      <c r="E11" s="1" t="s">
        <v>190</v>
      </c>
      <c r="F11" s="1" t="s">
        <v>190</v>
      </c>
      <c r="G11" s="1" t="s">
        <v>193</v>
      </c>
      <c r="H11" s="1" t="s">
        <v>209</v>
      </c>
      <c r="I11" s="1" t="s">
        <v>189</v>
      </c>
      <c r="J11" s="1" t="s">
        <v>193</v>
      </c>
      <c r="K11" s="1" t="s">
        <v>189</v>
      </c>
      <c r="L11" s="1" t="s">
        <v>189</v>
      </c>
      <c r="M11" s="1" t="s">
        <v>197</v>
      </c>
      <c r="N11" s="1" t="s">
        <v>193</v>
      </c>
      <c r="O11" s="1" t="s">
        <v>189</v>
      </c>
      <c r="P11" s="1" t="s">
        <v>189</v>
      </c>
      <c r="Q11" s="1" t="s">
        <v>191</v>
      </c>
      <c r="R11" s="1" t="s">
        <v>210</v>
      </c>
    </row>
    <row r="12" ht="14.5" spans="1:18">
      <c r="A12" t="s">
        <v>99</v>
      </c>
      <c r="B12">
        <v>17</v>
      </c>
      <c r="C12">
        <v>0</v>
      </c>
      <c r="D12" s="1" t="s">
        <v>189</v>
      </c>
      <c r="E12" s="1" t="s">
        <v>190</v>
      </c>
      <c r="F12" s="1" t="s">
        <v>190</v>
      </c>
      <c r="G12" s="1" t="s">
        <v>193</v>
      </c>
      <c r="H12" s="1" t="s">
        <v>209</v>
      </c>
      <c r="I12" s="1" t="s">
        <v>189</v>
      </c>
      <c r="J12" s="1" t="s">
        <v>193</v>
      </c>
      <c r="K12" s="1" t="s">
        <v>189</v>
      </c>
      <c r="L12" s="1" t="s">
        <v>189</v>
      </c>
      <c r="M12" s="1" t="s">
        <v>197</v>
      </c>
      <c r="N12" s="1" t="s">
        <v>193</v>
      </c>
      <c r="O12" s="1" t="s">
        <v>189</v>
      </c>
      <c r="P12" s="1" t="s">
        <v>189</v>
      </c>
      <c r="Q12" s="1" t="s">
        <v>191</v>
      </c>
      <c r="R12" s="1" t="s">
        <v>211</v>
      </c>
    </row>
    <row r="13" ht="14.5" spans="1:18">
      <c r="A13" t="s">
        <v>138</v>
      </c>
      <c r="D13" s="1" t="s">
        <v>189</v>
      </c>
      <c r="E13" s="1" t="s">
        <v>190</v>
      </c>
      <c r="F13" s="1" t="s">
        <v>191</v>
      </c>
      <c r="G13" s="1" t="s">
        <v>193</v>
      </c>
      <c r="H13" s="1" t="s">
        <v>204</v>
      </c>
      <c r="I13" s="1" t="s">
        <v>189</v>
      </c>
      <c r="J13" s="1" t="s">
        <v>189</v>
      </c>
      <c r="K13" s="1" t="s">
        <v>189</v>
      </c>
      <c r="L13" s="1" t="s">
        <v>197</v>
      </c>
      <c r="M13" s="1" t="s">
        <v>197</v>
      </c>
      <c r="N13" s="1" t="s">
        <v>189</v>
      </c>
      <c r="O13" s="1" t="s">
        <v>189</v>
      </c>
      <c r="P13" s="1" t="s">
        <v>191</v>
      </c>
      <c r="Q13" s="1" t="s">
        <v>197</v>
      </c>
      <c r="R13" s="1" t="s">
        <v>212</v>
      </c>
    </row>
    <row r="14" ht="14.5" spans="1:18">
      <c r="A14" t="s">
        <v>101</v>
      </c>
      <c r="D14" s="1" t="s">
        <v>189</v>
      </c>
      <c r="E14" s="1" t="s">
        <v>189</v>
      </c>
      <c r="F14" s="1" t="s">
        <v>189</v>
      </c>
      <c r="G14" s="1" t="s">
        <v>193</v>
      </c>
      <c r="H14" s="1" t="s">
        <v>204</v>
      </c>
      <c r="I14" s="1" t="s">
        <v>189</v>
      </c>
      <c r="J14" s="1" t="s">
        <v>193</v>
      </c>
      <c r="K14" s="1" t="s">
        <v>193</v>
      </c>
      <c r="L14" s="1" t="s">
        <v>189</v>
      </c>
      <c r="M14" s="1" t="s">
        <v>189</v>
      </c>
      <c r="N14" s="1" t="s">
        <v>189</v>
      </c>
      <c r="O14" s="1" t="s">
        <v>189</v>
      </c>
      <c r="P14" s="1" t="s">
        <v>197</v>
      </c>
      <c r="Q14" s="1" t="s">
        <v>191</v>
      </c>
      <c r="R14" s="1" t="s">
        <v>213</v>
      </c>
    </row>
    <row r="15" ht="14.5" spans="1:18">
      <c r="A15" t="s">
        <v>102</v>
      </c>
      <c r="D15" s="1" t="s">
        <v>189</v>
      </c>
      <c r="E15" s="1" t="s">
        <v>191</v>
      </c>
      <c r="F15" s="1" t="s">
        <v>197</v>
      </c>
      <c r="G15" s="1" t="s">
        <v>193</v>
      </c>
      <c r="H15" s="1" t="s">
        <v>204</v>
      </c>
      <c r="I15" s="1" t="s">
        <v>189</v>
      </c>
      <c r="J15" s="1" t="s">
        <v>193</v>
      </c>
      <c r="K15" s="1" t="s">
        <v>189</v>
      </c>
      <c r="L15" s="1" t="s">
        <v>189</v>
      </c>
      <c r="M15" s="1" t="s">
        <v>193</v>
      </c>
      <c r="N15" s="1" t="s">
        <v>193</v>
      </c>
      <c r="O15" s="1" t="s">
        <v>189</v>
      </c>
      <c r="P15" s="1" t="s">
        <v>189</v>
      </c>
      <c r="Q15" s="1" t="s">
        <v>193</v>
      </c>
      <c r="R15" s="1" t="s">
        <v>214</v>
      </c>
    </row>
    <row r="16" ht="14.5" spans="1:18">
      <c r="A16" t="s">
        <v>103</v>
      </c>
      <c r="D16" s="1" t="s">
        <v>189</v>
      </c>
      <c r="E16" s="1" t="s">
        <v>191</v>
      </c>
      <c r="F16" s="1" t="s">
        <v>197</v>
      </c>
      <c r="G16" s="1" t="s">
        <v>193</v>
      </c>
      <c r="H16" s="1" t="s">
        <v>204</v>
      </c>
      <c r="I16" s="1" t="s">
        <v>189</v>
      </c>
      <c r="J16" s="1" t="s">
        <v>193</v>
      </c>
      <c r="K16" s="1" t="s">
        <v>189</v>
      </c>
      <c r="L16" s="1" t="s">
        <v>189</v>
      </c>
      <c r="M16" s="1" t="s">
        <v>193</v>
      </c>
      <c r="N16" s="1" t="s">
        <v>193</v>
      </c>
      <c r="O16" s="1" t="s">
        <v>189</v>
      </c>
      <c r="P16" s="1" t="s">
        <v>189</v>
      </c>
      <c r="Q16" s="1" t="s">
        <v>193</v>
      </c>
      <c r="R16" s="1" t="s">
        <v>215</v>
      </c>
    </row>
    <row r="17" ht="14.5" spans="1:19">
      <c r="A17" t="s">
        <v>104</v>
      </c>
      <c r="D17" s="1" t="s">
        <v>189</v>
      </c>
      <c r="E17" s="1" t="s">
        <v>191</v>
      </c>
      <c r="F17" s="1" t="s">
        <v>191</v>
      </c>
      <c r="G17" s="1" t="s">
        <v>193</v>
      </c>
      <c r="H17" s="1" t="s">
        <v>204</v>
      </c>
      <c r="I17" s="1" t="s">
        <v>189</v>
      </c>
      <c r="J17" s="1" t="s">
        <v>193</v>
      </c>
      <c r="K17" s="1" t="s">
        <v>191</v>
      </c>
      <c r="L17" s="1" t="s">
        <v>189</v>
      </c>
      <c r="M17" s="1" t="s">
        <v>197</v>
      </c>
      <c r="N17" s="1" t="s">
        <v>193</v>
      </c>
      <c r="O17" s="1" t="s">
        <v>189</v>
      </c>
      <c r="P17" s="1" t="s">
        <v>189</v>
      </c>
      <c r="Q17" s="1" t="s">
        <v>191</v>
      </c>
      <c r="R17" s="1" t="s">
        <v>216</v>
      </c>
    </row>
    <row r="18" ht="14.5" spans="1:19">
      <c r="A18" s="3" t="s">
        <v>105</v>
      </c>
      <c r="D18" s="1" t="s">
        <v>189</v>
      </c>
      <c r="E18" s="1" t="s">
        <v>193</v>
      </c>
      <c r="F18" s="1" t="s">
        <v>193</v>
      </c>
      <c r="G18" s="1" t="s">
        <v>193</v>
      </c>
      <c r="H18" s="1" t="s">
        <v>204</v>
      </c>
      <c r="I18" s="1" t="s">
        <v>189</v>
      </c>
      <c r="J18" s="1" t="s">
        <v>193</v>
      </c>
      <c r="K18" s="1" t="s">
        <v>189</v>
      </c>
      <c r="L18" s="1" t="s">
        <v>189</v>
      </c>
      <c r="M18" s="1" t="s">
        <v>193</v>
      </c>
      <c r="N18" s="1" t="s">
        <v>193</v>
      </c>
      <c r="O18" s="1" t="s">
        <v>189</v>
      </c>
      <c r="P18" s="1" t="s">
        <v>189</v>
      </c>
      <c r="Q18" s="1" t="s">
        <v>197</v>
      </c>
      <c r="R18" s="1" t="s">
        <v>217</v>
      </c>
    </row>
    <row r="19" ht="14.5" spans="1:19">
      <c r="A19" s="3" t="s">
        <v>106</v>
      </c>
      <c r="D19" s="1" t="s">
        <v>189</v>
      </c>
      <c r="E19" s="1" t="s">
        <v>189</v>
      </c>
      <c r="F19" s="1" t="s">
        <v>189</v>
      </c>
      <c r="G19" s="1" t="s">
        <v>193</v>
      </c>
      <c r="H19" s="1" t="s">
        <v>204</v>
      </c>
      <c r="I19" s="1" t="s">
        <v>189</v>
      </c>
      <c r="J19" s="1" t="s">
        <v>193</v>
      </c>
      <c r="K19" s="1" t="s">
        <v>193</v>
      </c>
      <c r="L19" s="1" t="s">
        <v>189</v>
      </c>
      <c r="M19" s="1" t="s">
        <v>193</v>
      </c>
      <c r="N19" s="1" t="s">
        <v>193</v>
      </c>
      <c r="O19" s="1" t="s">
        <v>193</v>
      </c>
      <c r="P19" s="1" t="s">
        <v>189</v>
      </c>
      <c r="Q19" s="1" t="s">
        <v>189</v>
      </c>
      <c r="R19" s="1" t="s">
        <v>218</v>
      </c>
    </row>
    <row r="20" ht="14.5" spans="1:19">
      <c r="A20" t="s">
        <v>107</v>
      </c>
      <c r="D20" s="1" t="s">
        <v>189</v>
      </c>
      <c r="E20" s="1" t="s">
        <v>189</v>
      </c>
      <c r="F20" s="1" t="s">
        <v>189</v>
      </c>
      <c r="G20" s="1" t="s">
        <v>193</v>
      </c>
      <c r="H20" s="1" t="s">
        <v>204</v>
      </c>
      <c r="I20" s="1" t="s">
        <v>189</v>
      </c>
      <c r="J20" s="1" t="s">
        <v>193</v>
      </c>
      <c r="K20" s="1" t="s">
        <v>193</v>
      </c>
      <c r="L20" s="1" t="s">
        <v>189</v>
      </c>
      <c r="M20" s="1" t="s">
        <v>193</v>
      </c>
      <c r="N20" s="1" t="s">
        <v>193</v>
      </c>
      <c r="O20" s="1" t="s">
        <v>189</v>
      </c>
      <c r="P20" s="1" t="s">
        <v>189</v>
      </c>
      <c r="Q20" s="1" t="s">
        <v>191</v>
      </c>
      <c r="R20" s="1" t="s">
        <v>219</v>
      </c>
      <c r="S20" t="s">
        <v>220</v>
      </c>
    </row>
    <row r="21" ht="14.5" spans="1:19">
      <c r="A21" t="s">
        <v>109</v>
      </c>
      <c r="D21" s="1" t="s">
        <v>189</v>
      </c>
      <c r="E21" s="1" t="s">
        <v>190</v>
      </c>
      <c r="F21" s="1" t="s">
        <v>193</v>
      </c>
      <c r="G21" s="1" t="s">
        <v>189</v>
      </c>
      <c r="H21" s="1" t="s">
        <v>192</v>
      </c>
      <c r="I21" s="1" t="s">
        <v>189</v>
      </c>
      <c r="J21" s="1" t="s">
        <v>189</v>
      </c>
      <c r="K21" s="1" t="s">
        <v>189</v>
      </c>
      <c r="L21" s="1" t="s">
        <v>197</v>
      </c>
      <c r="M21" s="1" t="s">
        <v>197</v>
      </c>
      <c r="N21" s="1" t="s">
        <v>189</v>
      </c>
      <c r="O21" s="1" t="s">
        <v>189</v>
      </c>
      <c r="P21" s="1" t="s">
        <v>197</v>
      </c>
      <c r="Q21" s="1" t="s">
        <v>197</v>
      </c>
      <c r="R21" s="1" t="s">
        <v>221</v>
      </c>
    </row>
    <row r="22" ht="14.5" spans="1:19">
      <c r="A22" t="s">
        <v>110</v>
      </c>
      <c r="D22" s="1" t="s">
        <v>197</v>
      </c>
      <c r="E22" s="1" t="s">
        <v>193</v>
      </c>
      <c r="F22" s="1" t="s">
        <v>193</v>
      </c>
      <c r="G22" s="1" t="s">
        <v>189</v>
      </c>
      <c r="H22" s="1" t="s">
        <v>207</v>
      </c>
      <c r="I22" s="1" t="s">
        <v>189</v>
      </c>
      <c r="J22" s="1" t="s">
        <v>193</v>
      </c>
      <c r="K22" s="1" t="s">
        <v>193</v>
      </c>
      <c r="L22" s="1" t="s">
        <v>191</v>
      </c>
      <c r="M22" s="1" t="s">
        <v>193</v>
      </c>
      <c r="N22" s="1" t="s">
        <v>193</v>
      </c>
      <c r="O22" s="1" t="s">
        <v>193</v>
      </c>
      <c r="P22" s="1" t="s">
        <v>189</v>
      </c>
      <c r="Q22" s="1" t="s">
        <v>189</v>
      </c>
      <c r="R22" s="1" t="s">
        <v>222</v>
      </c>
    </row>
    <row r="23" ht="14.5" spans="1:19">
      <c r="A23" t="s">
        <v>111</v>
      </c>
      <c r="D23" s="1" t="s">
        <v>197</v>
      </c>
      <c r="E23" s="1" t="s">
        <v>193</v>
      </c>
      <c r="F23" s="1" t="s">
        <v>193</v>
      </c>
      <c r="G23" s="1" t="s">
        <v>189</v>
      </c>
      <c r="H23" s="1" t="s">
        <v>207</v>
      </c>
      <c r="I23" s="1" t="s">
        <v>189</v>
      </c>
      <c r="J23" s="1" t="s">
        <v>193</v>
      </c>
      <c r="K23" s="1" t="s">
        <v>193</v>
      </c>
      <c r="L23" s="1" t="s">
        <v>191</v>
      </c>
      <c r="M23" s="1" t="s">
        <v>193</v>
      </c>
      <c r="N23" s="1" t="s">
        <v>193</v>
      </c>
      <c r="O23" s="1" t="s">
        <v>193</v>
      </c>
      <c r="P23" s="1" t="s">
        <v>189</v>
      </c>
      <c r="Q23" s="1" t="s">
        <v>189</v>
      </c>
      <c r="R23" s="1" t="s">
        <v>223</v>
      </c>
    </row>
    <row r="24" ht="14.5" spans="1:19">
      <c r="A24" t="s">
        <v>112</v>
      </c>
      <c r="D24" s="1" t="s">
        <v>189</v>
      </c>
      <c r="E24" s="1" t="s">
        <v>191</v>
      </c>
      <c r="F24" s="1" t="s">
        <v>191</v>
      </c>
      <c r="G24" s="1" t="s">
        <v>193</v>
      </c>
      <c r="H24" s="1" t="s">
        <v>204</v>
      </c>
      <c r="I24" s="1" t="s">
        <v>189</v>
      </c>
      <c r="J24" s="1" t="s">
        <v>224</v>
      </c>
      <c r="K24" s="1" t="s">
        <v>190</v>
      </c>
      <c r="L24" s="1" t="s">
        <v>195</v>
      </c>
      <c r="M24" s="1" t="s">
        <v>189</v>
      </c>
      <c r="N24" s="1" t="s">
        <v>224</v>
      </c>
      <c r="O24" s="1" t="s">
        <v>195</v>
      </c>
      <c r="P24" s="1" t="s">
        <v>224</v>
      </c>
      <c r="Q24" s="1" t="s">
        <v>197</v>
      </c>
      <c r="R24" s="1" t="s">
        <v>225</v>
      </c>
    </row>
    <row r="25" ht="14.5" spans="1:19">
      <c r="A25" t="s">
        <v>113</v>
      </c>
      <c r="D25" s="1" t="s">
        <v>189</v>
      </c>
      <c r="E25" s="1" t="s">
        <v>191</v>
      </c>
      <c r="F25" s="1" t="s">
        <v>191</v>
      </c>
      <c r="G25" s="1" t="s">
        <v>193</v>
      </c>
      <c r="H25" s="1" t="s">
        <v>204</v>
      </c>
      <c r="I25" s="1" t="s">
        <v>189</v>
      </c>
      <c r="J25" s="1" t="s">
        <v>224</v>
      </c>
      <c r="K25" s="1" t="s">
        <v>190</v>
      </c>
      <c r="L25" s="1" t="s">
        <v>195</v>
      </c>
      <c r="M25" s="1" t="s">
        <v>189</v>
      </c>
      <c r="N25" s="1" t="s">
        <v>224</v>
      </c>
      <c r="O25" s="1" t="s">
        <v>195</v>
      </c>
      <c r="P25" s="1" t="s">
        <v>224</v>
      </c>
      <c r="Q25" s="1" t="s">
        <v>197</v>
      </c>
      <c r="R25" s="1" t="s">
        <v>226</v>
      </c>
    </row>
    <row r="26" spans="1:19">
      <c r="A26" t="s">
        <v>114</v>
      </c>
    </row>
    <row r="27" spans="1:19">
      <c r="A27" t="s">
        <v>115</v>
      </c>
    </row>
    <row r="28" spans="1:19">
      <c r="A28" t="s">
        <v>116</v>
      </c>
    </row>
    <row r="29" spans="1:19">
      <c r="A29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统计数据</vt:lpstr>
      <vt:lpstr>统计数据 (2)</vt:lpstr>
      <vt:lpstr>原始数据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31822</dc:creator>
  <cp:lastModifiedBy>张怡冉</cp:lastModifiedBy>
  <dcterms:created xsi:type="dcterms:W3CDTF">2025-11-16T07:42:00Z</dcterms:created>
  <dcterms:modified xsi:type="dcterms:W3CDTF">2026-02-11T07:48:05Z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6115E97B7D5348BBA851F3AF049F5FD3_11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